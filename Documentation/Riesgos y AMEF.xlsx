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fernandagonzalezzuluaga/Desktop/Gerencia/"/>
    </mc:Choice>
  </mc:AlternateContent>
  <xr:revisionPtr revIDLastSave="0" documentId="8_{DB96B4ED-C540-7B44-85D5-76C7EFEDF23C}" xr6:coauthVersionLast="47" xr6:coauthVersionMax="47" xr10:uidLastSave="{00000000-0000-0000-0000-000000000000}"/>
  <bookViews>
    <workbookView xWindow="0" yWindow="680" windowWidth="29400" windowHeight="16880" activeTab="2" xr2:uid="{F3905514-F28A-4C51-ACE5-B8311BBBF468}"/>
  </bookViews>
  <sheets>
    <sheet name="RBS Ejemplo" sheetId="1" r:id="rId1"/>
    <sheet name="Marcos de riesgo" sheetId="3" r:id="rId2"/>
    <sheet name="AMEF formato" sheetId="2" r:id="rId3"/>
  </sheets>
  <definedNames>
    <definedName name="_xlnm._FilterDatabase" localSheetId="2" hidden="1">'AMEF formato'!$A$2:$K$41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2" l="1"/>
  <c r="I40" i="2"/>
  <c r="I39" i="2"/>
  <c r="I38" i="2"/>
  <c r="I37" i="2"/>
  <c r="I36" i="2"/>
  <c r="I35" i="2"/>
  <c r="I34" i="2"/>
  <c r="I33" i="2"/>
  <c r="I32" i="2"/>
  <c r="I31" i="2"/>
  <c r="N9" i="2"/>
  <c r="N7" i="2"/>
  <c r="I3" i="2"/>
  <c r="N10" i="2"/>
  <c r="N8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O4" i="2" l="1"/>
  <c r="O5" i="2"/>
  <c r="O6" i="2"/>
  <c r="O3" i="2"/>
</calcChain>
</file>

<file path=xl/sharedStrings.xml><?xml version="1.0" encoding="utf-8"?>
<sst xmlns="http://schemas.openxmlformats.org/spreadsheetml/2006/main" count="463" uniqueCount="346">
  <si>
    <t>Factores / Niveles</t>
  </si>
  <si>
    <t>Nivel 1</t>
  </si>
  <si>
    <t>Nivel 2</t>
  </si>
  <si>
    <t>Nivel 3</t>
  </si>
  <si>
    <t>Riesgos identificados en el proyecto</t>
  </si>
  <si>
    <t>Tiempo</t>
  </si>
  <si>
    <t>Retrasos</t>
  </si>
  <si>
    <t>Paros fuerza mayor</t>
  </si>
  <si>
    <t>Cambios</t>
  </si>
  <si>
    <t>Gente</t>
  </si>
  <si>
    <t>Insuficiencia # recursos</t>
  </si>
  <si>
    <t>Costos desarrollo</t>
  </si>
  <si>
    <t>Costos nueva tecnología</t>
  </si>
  <si>
    <t>Entregables</t>
  </si>
  <si>
    <t>No es implementable en recursos cliente</t>
  </si>
  <si>
    <t>Calidad</t>
  </si>
  <si>
    <t>Bajo desempeño</t>
  </si>
  <si>
    <t>Entregable con características que no responden la totalidad de requerimientos, entregable con bajo poder de implementación.</t>
  </si>
  <si>
    <t xml:space="preserve">Errores comunes </t>
  </si>
  <si>
    <t>Contrato</t>
  </si>
  <si>
    <t>Datos</t>
  </si>
  <si>
    <t>Carencia datos</t>
  </si>
  <si>
    <t>Incapacidad de adquisición de datos en tiempos estipulados o inexistencia de éstos.</t>
  </si>
  <si>
    <t>Factor de riesgo</t>
  </si>
  <si>
    <t>Modo Potencial de Fallo</t>
  </si>
  <si>
    <t>Potenciales Efectos de la Falla</t>
  </si>
  <si>
    <t xml:space="preserve">Causa Potencial </t>
  </si>
  <si>
    <t>Controles Proceso</t>
  </si>
  <si>
    <t xml:space="preserve">Acciones recomendadas </t>
  </si>
  <si>
    <t>Responsables</t>
  </si>
  <si>
    <t>Oc. (0-1)</t>
  </si>
  <si>
    <t>Sev. (0-1)</t>
  </si>
  <si>
    <t>Det. (0-1)</t>
  </si>
  <si>
    <t>Índice de prioridad del riesgo
RPN= Sev*Oc*Det</t>
  </si>
  <si>
    <t>Metodologia</t>
  </si>
  <si>
    <t>Demoras en retroalimentación por parte del asesor del proyecto</t>
  </si>
  <si>
    <t>Modificacion de requerimientos iniciales</t>
  </si>
  <si>
    <t>Retraso en el cronograma base</t>
  </si>
  <si>
    <t>Nivel 0</t>
  </si>
  <si>
    <t>Rotación del personal asignado en la universidad para la ejecucion del proyecto</t>
  </si>
  <si>
    <t>Stakeholders</t>
  </si>
  <si>
    <t>No existe una particpación activa por parte de los stakeholders</t>
  </si>
  <si>
    <t>La cantidad de recursos (integrantes del proyecto) no son suficientes para el alcance del proyecto</t>
  </si>
  <si>
    <t>Recursos del proyecto</t>
  </si>
  <si>
    <t>No continuidad de algun integrante en alguna de las fases del proyecto</t>
  </si>
  <si>
    <t>Insuficiencia # presupuesto</t>
  </si>
  <si>
    <t>La metodología de gestión del proyecto no ha sido eficiente</t>
  </si>
  <si>
    <t>Gestion del proyecto</t>
  </si>
  <si>
    <t>desarrollo del producto</t>
  </si>
  <si>
    <t>Cambio en la metodologia del proyecto</t>
  </si>
  <si>
    <t>El desarrollo del producto supera el presupuesto establecido para el proyecto</t>
  </si>
  <si>
    <t>Nuevas tecnologias implementadas o cambios en las ya definidas</t>
  </si>
  <si>
    <t>El código desarrollado no está optimizado, generando mayores tiempos de ejecución y costos adicionales por consumo de recursos y retrabajos.</t>
  </si>
  <si>
    <t>Aprobacion de entregables</t>
  </si>
  <si>
    <t>El entregable no cumple con los requerimientos identificados para dar cumplimiento al proyecto</t>
  </si>
  <si>
    <t>Relacion con requerimientos</t>
  </si>
  <si>
    <t>Implementacion en cliente</t>
  </si>
  <si>
    <t>Demoras en aprobaciones de entregables por parte del sponsor del proyecto</t>
  </si>
  <si>
    <t>El entregable tiene mas de 2 ciclos de revision.</t>
  </si>
  <si>
    <t>Los entregables presentan defectos o inconsistencias que requieren retrabajo.</t>
  </si>
  <si>
    <t>No se realizan pruebas suficientes, lo que permite que errores pasen desapercibidos.</t>
  </si>
  <si>
    <t>Pruebas producto</t>
  </si>
  <si>
    <t>Se omiten procesos de validación o aceptación, generando inconformidad del cliente.</t>
  </si>
  <si>
    <t>El modelo construido no cuenta con métricas satisfactorias que permitan el paso a producción</t>
  </si>
  <si>
    <t>No se siguen los estándares definidos, afectando la uniformidad de los entregables.</t>
  </si>
  <si>
    <t>Integración</t>
  </si>
  <si>
    <t>La informacion adquirida no es posible integrarla</t>
  </si>
  <si>
    <t>El entregable No da respuesta a necesidad negocio</t>
  </si>
  <si>
    <t>Riesgo</t>
  </si>
  <si>
    <t>Alto</t>
  </si>
  <si>
    <t>Medio</t>
  </si>
  <si>
    <t>Bajo</t>
  </si>
  <si>
    <t>Muy Bajo</t>
  </si>
  <si>
    <t>Valor RPN</t>
  </si>
  <si>
    <t>Conteo</t>
  </si>
  <si>
    <t>500-1000</t>
  </si>
  <si>
    <t>125-499</t>
  </si>
  <si>
    <t>10-124</t>
  </si>
  <si>
    <t>1-9</t>
  </si>
  <si>
    <t>-Establecer fechas de retroalimentacion
-Hacer uso de las tutorias para verificar el contenido de los entregables</t>
  </si>
  <si>
    <t>-Realizar seguimientos semanales para identificar actividades con retraso</t>
  </si>
  <si>
    <t>-Establecer fechas y ciclos de aprobación de entregables
-Agendar sesiones con el sponsor para validar entregables</t>
  </si>
  <si>
    <t>-Notificar al resto de integrantes a penas se active el riesgo</t>
  </si>
  <si>
    <t>-Agendar sesiones de seguimiento con los stakeholders para comunicar avances en los requerimientos documnentados</t>
  </si>
  <si>
    <t>-Verificacion de carga por integrante</t>
  </si>
  <si>
    <t>Maria Fernanda Gonzalez</t>
  </si>
  <si>
    <t>Maria Fernanda Gonzalez
Juan Romero
Renato Patiño
Carolina Fuentes</t>
  </si>
  <si>
    <t>Carolina Fuentes</t>
  </si>
  <si>
    <t>Renato Patiño</t>
  </si>
  <si>
    <t>Juan Romero</t>
  </si>
  <si>
    <t>Ausencias por enfermedad de integrantes del equipo</t>
  </si>
  <si>
    <t>Indisponibilidad de stakeholders tanto en el área de Crédito y Cartera, como el Backup que es Financiera</t>
  </si>
  <si>
    <t>Nuevos requerimientos del área de Cartera que alteran alcance o entregables.</t>
  </si>
  <si>
    <t>Deficiencia de Perfiles</t>
  </si>
  <si>
    <t xml:space="preserve">Perfil de los integrantes del proyecto sin conocimiento en MLOps, ASUM-ML/CRISP-ML e implementación de modelos de Machine Learning con  librerias como Sckit Learn </t>
  </si>
  <si>
    <t xml:space="preserve">Tiempo adicional en pruebas y tuning de hiperparámetros, implementando pipelines y grillas para su selección </t>
  </si>
  <si>
    <t>Incrementos de gasto por pruebas o disponibilidad en AWS</t>
  </si>
  <si>
    <t>Sesgos por datos incompletos, duplicados o mal codificados o categorizados</t>
  </si>
  <si>
    <t>Perdida de confidencialidad de información</t>
  </si>
  <si>
    <t>Incumplimiento de acuerdo de confidencialidad frente al manejo y tratamiento de los datos</t>
  </si>
  <si>
    <t xml:space="preserve">Modelo Predictivo </t>
  </si>
  <si>
    <t>Evaluación del modelo</t>
  </si>
  <si>
    <t>Selección de hiperparámetros</t>
  </si>
  <si>
    <t>Hiperparámetros mal configurados que generen alta varianza, y no optimícen el modelo</t>
  </si>
  <si>
    <t>Interpretabilidad</t>
  </si>
  <si>
    <t>Resultados tipo caja negra dificiles de interpretar por el área de Cartera</t>
  </si>
  <si>
    <t>Sobreajuste del modelo predictivo, bajo rendimiento del modelo</t>
  </si>
  <si>
    <t>No cumplir con los criterios definidos (AUC ≥ 0.80, Recall ≥ 0.75, F1 ≥ 0.70)</t>
  </si>
  <si>
    <t>Métricas de desempeño</t>
  </si>
  <si>
    <t>Desbalance de clases</t>
  </si>
  <si>
    <t>Desbalance entre estudiantes cumplidos y morosos en los datos históricos</t>
  </si>
  <si>
    <t>Configuración insuficiente de folds en la validación cruzada</t>
  </si>
  <si>
    <t>Resultados poco representativos</t>
  </si>
  <si>
    <t>Rotación</t>
  </si>
  <si>
    <t>Costo y Presupuesto</t>
  </si>
  <si>
    <t>Atraso en la validación de entregables</t>
  </si>
  <si>
    <t>Sobrecarga de trabajo del asesor</t>
  </si>
  <si>
    <t xml:space="preserve">El asesor no realiza comentarios y retroalimentaciones clave para el abordaje del proyecto </t>
  </si>
  <si>
    <t xml:space="preserve"> -Para complementar las tutorías hacer uso del canal de comunicación de SLACK para la resolución de dudas </t>
  </si>
  <si>
    <t>Fases del proyecto no cumplen fechas establecidas</t>
  </si>
  <si>
    <t>Extensión del cronograma, afectación de entregables posteriores</t>
  </si>
  <si>
    <t>Mala estimación de tiempos o por carga de trabajo subestimada</t>
  </si>
  <si>
    <t xml:space="preserve"> -Uso de metodologías como iterativo incremental, Espiral o Agiles como SCRUM para controlar las desviaciones del cronograma</t>
  </si>
  <si>
    <t>Sponsor no revisa o autoriza en tiempo</t>
  </si>
  <si>
    <t>Demoras en la entrega de avances y en  fases</t>
  </si>
  <si>
    <t xml:space="preserve">Compromisos y baja disponibilidad del sponsor </t>
  </si>
  <si>
    <t>Baja del recurso clave en fase crítica</t>
  </si>
  <si>
    <t>Retrasos en integración de datos y validación de modelos</t>
  </si>
  <si>
    <t>Contingecias de salud</t>
  </si>
  <si>
    <t xml:space="preserve"> -Definir roles y actividades para el conocimiento de tareas de todo el equipo y poder repartir temporalmente las obligaciones</t>
  </si>
  <si>
    <t>Ajustes de alcance durante el desarrollo</t>
  </si>
  <si>
    <t>Reprocesos y cambios del modelo</t>
  </si>
  <si>
    <t>Definición inicial incompleta</t>
  </si>
  <si>
    <t xml:space="preserve"> -Orientaciones con el Director financiero en tareas estratégicas iniciales en la planeación </t>
  </si>
  <si>
    <t xml:space="preserve"> -Tener un Backup del responsable de crédito y cartera que conozca el proceso para realizar el seguimiento</t>
  </si>
  <si>
    <t>Solicitud de nuevas métricas o ajustes en el modelo</t>
  </si>
  <si>
    <t>Sobrecarga del equipo técnico</t>
  </si>
  <si>
    <t>Expectativas cambiantes de usuarios</t>
  </si>
  <si>
    <t xml:space="preserve">Cambio de integrantes de cartera con traza en el proyecto </t>
  </si>
  <si>
    <t>Pérdida de continuidad y curva de aprendizaje</t>
  </si>
  <si>
    <t>Cambios institucionales</t>
  </si>
  <si>
    <t xml:space="preserve"> -Comunicación constante y documentación del proyecto con el objetivo de tener retención documental del mismo</t>
  </si>
  <si>
    <t xml:space="preserve"> -Notificar al resto de integrantes a penas se active el riesgo
  -Confirmar con el Director Financiero el nuevo responsible o stakeholder</t>
  </si>
  <si>
    <t xml:space="preserve"> -Comunicación semanal o periodica de la información sumistrada por los Stakeholders</t>
  </si>
  <si>
    <t>Integrantes no dominan herramientas o metodologías clave</t>
  </si>
  <si>
    <t>Baja calidad en el modelo, errores en pipelines o validación</t>
  </si>
  <si>
    <t>Falta de atención del conocimiento proporcionado en MIAD</t>
  </si>
  <si>
    <t xml:space="preserve"> -Refuerzo de contenido y documentación de las materias abordadas en MIAD</t>
  </si>
  <si>
    <t>Falta de personal para tareas de analisis descriptivo y predictivo</t>
  </si>
  <si>
    <t>Retrasos y sobrecarga del equipo actual</t>
  </si>
  <si>
    <t>Limitaciones de disponibilidad</t>
  </si>
  <si>
    <t>Salida inesperada de un miembro con conocimiento técnico</t>
  </si>
  <si>
    <t>Pérdida de trazabilidad en código o procesos de modelado</t>
  </si>
  <si>
    <t xml:space="preserve"> -Definir roles y actividades para el conocimiento de tareas de todo el equipo y poder repartir las obligaciones</t>
  </si>
  <si>
    <t xml:space="preserve"> - Control de versiones GitHub y MLFlow</t>
  </si>
  <si>
    <t>Los interesados no aportan retroalimentación o decisiones a tiempo</t>
  </si>
  <si>
    <t>Falta de validación oportuna y riesgo de incumplir objetivos</t>
  </si>
  <si>
    <t>Baja priorización del proyecto en su agenda</t>
  </si>
  <si>
    <t>Código ineficiente que aumenta los tiempos de ejecución de los scripts</t>
  </si>
  <si>
    <t>Retrasos en la entrega de resultados</t>
  </si>
  <si>
    <t>Validaciones, pruebas y pipelines ineficientes</t>
  </si>
  <si>
    <t xml:space="preserve"> -Revisión de scripts por pares validando pruebas de rendimiento con MLFlow</t>
  </si>
  <si>
    <t xml:space="preserve"> - Implementar revisión sistemática de código</t>
  </si>
  <si>
    <t>Demanda excesivo tiempo de ajuste</t>
  </si>
  <si>
    <t>Incremento de horas de trabajo</t>
  </si>
  <si>
    <t>Desconocimiento de técnicas de optimización automatizada</t>
  </si>
  <si>
    <t xml:space="preserve"> -Registros de experimentos en Mlflow e implementación de Gridsearch y optuna</t>
  </si>
  <si>
    <t xml:space="preserve"> -Planificar tuning con límites de iteraciones</t>
  </si>
  <si>
    <t>Migración o actualización de herramientas</t>
  </si>
  <si>
    <t>Incompatibilidad y curva de aprendizaje del equipo</t>
  </si>
  <si>
    <t>Perdida de continuidad por caida de AWS u otras herramientas</t>
  </si>
  <si>
    <t xml:space="preserve"> -Mantener documentación técnica actualizada y respaldo del código</t>
  </si>
  <si>
    <t xml:space="preserve"> -Evaluaciones previas de compatibilidad y documentación técnica actualizada</t>
  </si>
  <si>
    <t>Evaluar costo-beneficio antes de migrar</t>
  </si>
  <si>
    <t>Aumento del costo operativo</t>
  </si>
  <si>
    <t>Falta de monitoreo del consumo</t>
  </si>
  <si>
    <t xml:space="preserve">Uso excesivo de instancias en nube </t>
  </si>
  <si>
    <t xml:space="preserve"> -Supervisión manual continua del panel de AWS</t>
  </si>
  <si>
    <t xml:space="preserve"> -Implementar alertas automáticas de uso y límites de facturación</t>
  </si>
  <si>
    <t>Los costos reales exceden la asignación inicial</t>
  </si>
  <si>
    <t>Imposibilidad de finalizar el proyecto</t>
  </si>
  <si>
    <t>Planeación financiera insuficiente</t>
  </si>
  <si>
    <t xml:space="preserve"> -Seguimiento periodico al presupuesto con el que se pretende abordar el proyecto</t>
  </si>
  <si>
    <t xml:space="preserve"> -Revisar gastos de licencias y servicios antes de cada fase</t>
  </si>
  <si>
    <t>El modelo o dashboard no responde al objetivo del área de Cartera</t>
  </si>
  <si>
    <t>Pérdida de utilidad del producto</t>
  </si>
  <si>
    <t>Requerimientos iniciales mal definidos</t>
  </si>
  <si>
    <t xml:space="preserve"> - Validar los entregables con el usuario antes del cierre de cada fase y mantener trazabilidad entre requerimiento y funcionalidad</t>
  </si>
  <si>
    <t>Omisión de variables o criterios acordados</t>
  </si>
  <si>
    <t>Producto incompleto</t>
  </si>
  <si>
    <t xml:space="preserve">Falta de control de versiones </t>
  </si>
  <si>
    <t xml:space="preserve"> - Checklists de requerimientos antes de cada entrega y documentación de cambios y versiones</t>
  </si>
  <si>
    <t xml:space="preserve"> -Implementar matrices de cumplimiento</t>
  </si>
  <si>
    <t>El modelo o dashboard requiere infraestructura no disponible en la universidad</t>
  </si>
  <si>
    <t>El entregable no puede ponerse en producción</t>
  </si>
  <si>
    <t>Falta de análisis de compatibilidad con sistemas existentes</t>
  </si>
  <si>
    <t xml:space="preserve"> -Implementación del modelo con recursos Open Source y presentación de la documentación </t>
  </si>
  <si>
    <t xml:space="preserve"> - Backup de migración y despliegue del proyecto en los servicios de Amazon Web Services (AWS)</t>
  </si>
  <si>
    <t>Entregas con errores o sin cumplir criterios de  contenido</t>
  </si>
  <si>
    <t>Retrasos en el cronograma</t>
  </si>
  <si>
    <t>Falta de estándares claros para la revisión de entregables</t>
  </si>
  <si>
    <t xml:space="preserve"> - Retroalimentaciones periódicas y revisión por pares con el equipo que implementa el proyecto previo a la cumplinación de cada fase</t>
  </si>
  <si>
    <t>El modelo no genera resultados útiles o accionables para Cartera</t>
  </si>
  <si>
    <t>Pérdida de confianza del usuario</t>
  </si>
  <si>
    <t>Datos no representativos o mala selección de variables</t>
  </si>
  <si>
    <t xml:space="preserve"> - Validación de desempeño con métricas y aplicación de feeature selection</t>
  </si>
  <si>
    <t xml:space="preserve"> - Implementar validación cruzada con diferentes particiones y revisión por pares del modelo antes del despliegue</t>
  </si>
  <si>
    <t>AUC, Recall o F1 inferiores a los umbrales definidos</t>
  </si>
  <si>
    <t>Baja precisión y capacidad de predicción</t>
  </si>
  <si>
    <t>Falta de ajuste de hiperparámetros</t>
  </si>
  <si>
    <t>Inconsistencias en versiones de código</t>
  </si>
  <si>
    <t>Resultados no replicables</t>
  </si>
  <si>
    <t>Falta de control de versiones o validaciones automáticas</t>
  </si>
  <si>
    <t>Entregables sin validación formal del área usuaria</t>
  </si>
  <si>
    <t>Rechazo posterior o necesidad de corrección</t>
  </si>
  <si>
    <t>Falta de comunicación con stakeholders</t>
  </si>
  <si>
    <t>Calidad deficiente de datos usados para entrenar el modelo</t>
  </si>
  <si>
    <t>Predicciones erróneas y métricas inestables</t>
  </si>
  <si>
    <t>Falta de depuración o procesos de limpieza</t>
  </si>
  <si>
    <t xml:space="preserve"> -Analítica descriptiva  con preprocesamiento  y feature engineering y selection para  normalización y codificación de variables categóricas  </t>
  </si>
  <si>
    <t xml:space="preserve"> -Diccionario de datos y revisión de los datos previo</t>
  </si>
  <si>
    <t>Falta de validaciones técnicas y de usuario</t>
  </si>
  <si>
    <t>Errores en producción</t>
  </si>
  <si>
    <t>Falta de planificación de pruebas</t>
  </si>
  <si>
    <t xml:space="preserve"> -Revisión técnica y validación de métricas principales</t>
  </si>
  <si>
    <t xml:space="preserve"> -Establecer plan de pruebas unitarias </t>
  </si>
  <si>
    <t>Filtración o uso no autorizado de información sensible de estudiantes</t>
  </si>
  <si>
    <t>Vulneración de la Ley 1581/2012</t>
  </si>
  <si>
    <t>Manejo inadecuado de datos sensibles</t>
  </si>
  <si>
    <t xml:space="preserve"> -Limpieza de bases en categorias como nombres, identificación y contacto </t>
  </si>
  <si>
    <t xml:space="preserve"> -Anonimización de datos y de la universidad</t>
  </si>
  <si>
    <t>No se logra acceder a las bases Banner, Iceberg u otras fuentes</t>
  </si>
  <si>
    <t xml:space="preserve">Retrasos en la entrega por parte de las áreas responsables de las bases </t>
  </si>
  <si>
    <t xml:space="preserve"> -Solicitudes formales y seguimiento mediante actas de solicitud y GLPI a tecnología</t>
  </si>
  <si>
    <t xml:space="preserve"> -Comunicación constante con las áres responsables de la información</t>
  </si>
  <si>
    <t>Imposibilidad de crear dataset consolidado</t>
  </si>
  <si>
    <t>Falta de un esquema de llaves comunes o formatos distintos</t>
  </si>
  <si>
    <t>Estructuras de datos incompatible</t>
  </si>
  <si>
    <t xml:space="preserve"> -Procesos manuales de  análisis de la infirmación, depuración y transformación</t>
  </si>
  <si>
    <t>Falta de control en tiempos, roles o comunicación entre el equipo</t>
  </si>
  <si>
    <t>Desorganización e incumplimiento de entregas</t>
  </si>
  <si>
    <t>Falta de seguimiento periódico</t>
  </si>
  <si>
    <t xml:space="preserve"> -Revisión semanal con el equipo del contenido del proyecto </t>
  </si>
  <si>
    <t xml:space="preserve"> -Implementar KPIs de seguimiento interno</t>
  </si>
  <si>
    <t>Transición o mezcla de enfoque sin planificar</t>
  </si>
  <si>
    <t>Ppérdida de trazabilidad y desviación de objetivos</t>
  </si>
  <si>
    <t>Falta de alineación en el equipo de trabajo</t>
  </si>
  <si>
    <t xml:space="preserve"> -Formalizar la metodologia implementada entre PMBok del  PMI y ASUM-DM</t>
  </si>
  <si>
    <t>No se implementa de manera correcta la metodologia ASUM-ML/PMBok</t>
  </si>
  <si>
    <t>Fases omitidas o realizadas parcialmente</t>
  </si>
  <si>
    <t>Incoherencia entre los objetivos del negocio y el modelo final</t>
  </si>
  <si>
    <t>Desconocimiento de la metodología</t>
  </si>
  <si>
    <t xml:space="preserve"> -Abordaje de clases de gerencia de proyectos, Machine learning, despliegue entre otros</t>
  </si>
  <si>
    <t xml:space="preserve"> -Abordaje de clases de gerencia de proyectos,  sesiones sincronicas y acompañamiento de tutores</t>
  </si>
  <si>
    <t xml:space="preserve"> -Refuerzo de contenido y documentación de la materia de gerencia de proyectos de analytics</t>
  </si>
  <si>
    <t>Cada integrante presenta documentación sin estandarización</t>
  </si>
  <si>
    <t>Inconsistencia entre entregas</t>
  </si>
  <si>
    <t>Falta de repositorios unificados</t>
  </si>
  <si>
    <t>El modelo aprende patrones específicos del conjunto de entrenamiento</t>
  </si>
  <si>
    <t>Resultados inconsistentes</t>
  </si>
  <si>
    <t>Falta de validación cruzada adecuada</t>
  </si>
  <si>
    <t xml:space="preserve"> -Evaluación con AUC y validación cruzada</t>
  </si>
  <si>
    <t xml:space="preserve"> -Implementar regularización y early stopping</t>
  </si>
  <si>
    <t>Ajuste manual o empírico de hiperparámetros</t>
  </si>
  <si>
    <t>Modelos inestables</t>
  </si>
  <si>
    <t>Desconocimiento de técnicas de optimización</t>
  </si>
  <si>
    <t xml:space="preserve"> -Implementar búsqueda automatizada de hiperparámetros con pipelines y grillas</t>
  </si>
  <si>
    <t>Modelo complejo sin explicación clara de variables o contribuciones.</t>
  </si>
  <si>
    <t>Rechazo del modelo por parte del stakeholder</t>
  </si>
  <si>
    <t>Falta de herramientas de interpretación o comunicación técnica</t>
  </si>
  <si>
    <t xml:space="preserve"> -Revisión de importancia de variables, implementación de PCA y correlaciones</t>
  </si>
  <si>
    <t>Traducir resultados técnicos a visualizaciones y lenguaje de negocio.</t>
  </si>
  <si>
    <t>El modelo no alcanza el umbral mínimo exigido por el proyecto</t>
  </si>
  <si>
    <t>Pérdida de confianza del stakeholder</t>
  </si>
  <si>
    <t>Modelo mal calibrado o sin ajuste de umbral óptimo</t>
  </si>
  <si>
    <t xml:space="preserve"> -Reajustar hiperparámetros y buscar su optimización</t>
  </si>
  <si>
    <t>Predominio de una clase sobre otra</t>
  </si>
  <si>
    <t>Baja efectividad del modelo en detección de casos</t>
  </si>
  <si>
    <t>Distribución natural de los estudiantes</t>
  </si>
  <si>
    <t xml:space="preserve"> -Revisión de distribución de clases antes del modelado </t>
  </si>
  <si>
    <t xml:space="preserve">  -Aplicar técnicas de balanceo como SMOTE</t>
  </si>
  <si>
    <t>Pocas particiones en cross validation</t>
  </si>
  <si>
    <t>Métricas inestables y conclusiones erróneas</t>
  </si>
  <si>
    <t>Selección inadecuada de K</t>
  </si>
  <si>
    <t xml:space="preserve"> -Validación  con K-Fold y revisión de codo</t>
  </si>
  <si>
    <t xml:space="preserve"> -Analizar la varianza entre resultados y asegurar estabilidad del modelo</t>
  </si>
  <si>
    <t>Escalas para AMEF</t>
  </si>
  <si>
    <t>Severidad (Sev) — impacto</t>
  </si>
  <si>
    <t>Valor</t>
  </si>
  <si>
    <t>Interpretación</t>
  </si>
  <si>
    <t>Sin efectos percibidos</t>
  </si>
  <si>
    <t>No afecta el proyecto</t>
  </si>
  <si>
    <t>Muy pequeño</t>
  </si>
  <si>
    <t>Menos del 10 % del proceso afectado</t>
  </si>
  <si>
    <t>Pequeño</t>
  </si>
  <si>
    <t>Menos del 25 % afectado</t>
  </si>
  <si>
    <t>Muy bajo</t>
  </si>
  <si>
    <t>Menos del 50 % afectado</t>
  </si>
  <si>
    <t>Menos del 75 % afectado, leve insatisfacción</t>
  </si>
  <si>
    <t>Moderado</t>
  </si>
  <si>
    <t>Más del 75 % afectado, bajo rendimiento</t>
  </si>
  <si>
    <t>Más del 90 % afectado, insatisfacción del cliente</t>
  </si>
  <si>
    <t>Muy alto</t>
  </si>
  <si>
    <t>Todo el proceso afectado, incumplimiento</t>
  </si>
  <si>
    <t>Peligroso</t>
  </si>
  <si>
    <t>Total incumplimiento, fallas críticas en otros procesos</t>
  </si>
  <si>
    <t>9 y10</t>
  </si>
  <si>
    <t>Ocurrencia (Oc) - Probabilidad</t>
  </si>
  <si>
    <t>Probabilidad estimada</t>
  </si>
  <si>
    <t>Criterio</t>
  </si>
  <si>
    <t>Imposible que ocurra</t>
  </si>
  <si>
    <t>&lt; 0.01 %</t>
  </si>
  <si>
    <t>Muy poco probable</t>
  </si>
  <si>
    <t>0.01 % – 0.03 %</t>
  </si>
  <si>
    <t>0.03 % – 0.1 %</t>
  </si>
  <si>
    <t>0.1 % – 0.3 %</t>
  </si>
  <si>
    <t>0.3 % – 1 %</t>
  </si>
  <si>
    <t>1 % – 3 %</t>
  </si>
  <si>
    <t>3 % – 10 %</t>
  </si>
  <si>
    <t>10 % – 30 %</t>
  </si>
  <si>
    <t>&gt; 30 %</t>
  </si>
  <si>
    <t>Extremo</t>
  </si>
  <si>
    <t xml:space="preserve">Criterio </t>
  </si>
  <si>
    <t>Detección (Det)</t>
  </si>
  <si>
    <t>Capacidad de detección</t>
  </si>
  <si>
    <t>Casi seguro (&gt; 99 %)</t>
  </si>
  <si>
    <t>Controles robustos y automatizados</t>
  </si>
  <si>
    <t>Muy alta (97.5 %)</t>
  </si>
  <si>
    <t>Se detecta siempre antes de liberar</t>
  </si>
  <si>
    <t>Alta (95 %)</t>
  </si>
  <si>
    <t>Error se detecta automáticamente</t>
  </si>
  <si>
    <t>Altamente moderada (92.5 %)</t>
  </si>
  <si>
    <t>Se detecta antes de finalizar</t>
  </si>
  <si>
    <t>Moderada (90 %)</t>
  </si>
  <si>
    <t>Se revisan la mayoría de requerimientos</t>
  </si>
  <si>
    <t>Baja (87.5 %)</t>
  </si>
  <si>
    <t>Controles flexibles o incompletos</t>
  </si>
  <si>
    <t>Muy baja (85 %)</t>
  </si>
  <si>
    <t>Solo doble revisión visual</t>
  </si>
  <si>
    <t>Remota (80 %)</t>
  </si>
  <si>
    <t>Controles limitados o manuales</t>
  </si>
  <si>
    <t>Muy remota (&lt; 70 %)</t>
  </si>
  <si>
    <t>Revisión al azar, poco sistemática</t>
  </si>
  <si>
    <t>Casi imposible</t>
  </si>
  <si>
    <t>No existen pruebas o controles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</si>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</sst>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CE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A56CD1"/>
      </bottom>
      <diagonal/>
    </border>
    <border>
      <left/>
      <right style="medium">
        <color rgb="FFA56CD1"/>
      </right>
      <top/>
      <bottom style="medium">
        <color rgb="FFA56CD1"/>
      </bottom>
      <diagonal/>
    </border>
    <border>
      <left style="medium">
        <color rgb="FFA56CD1"/>
      </left>
      <right style="medium">
        <color rgb="FFA56CD1"/>
      </right>
      <top style="medium">
        <color rgb="FFA56CD1"/>
      </top>
      <bottom/>
      <diagonal/>
    </border>
    <border>
      <left style="medium">
        <color rgb="FFA56CD1"/>
      </left>
      <right style="medium">
        <color rgb="FFA56CD1"/>
      </right>
      <top/>
      <bottom/>
      <diagonal/>
    </border>
    <border>
      <left style="medium">
        <color rgb="FFA56CD1"/>
      </left>
      <right style="medium">
        <color rgb="FFA56CD1"/>
      </right>
      <top/>
      <bottom style="medium">
        <color rgb="FFA56C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A56CD1"/>
      </right>
      <top style="medium">
        <color rgb="FFA56CD1"/>
      </top>
      <bottom/>
      <diagonal/>
    </border>
    <border>
      <left style="medium">
        <color rgb="FFA56CD1"/>
      </left>
      <right/>
      <top style="medium">
        <color rgb="FFA56CD1"/>
      </top>
      <bottom/>
      <diagonal/>
    </border>
    <border>
      <left/>
      <right/>
      <top style="medium">
        <color rgb="FFA56CD1"/>
      </top>
      <bottom/>
      <diagonal/>
    </border>
    <border>
      <left style="medium">
        <color rgb="FF7030A0"/>
      </left>
      <right style="thin">
        <color indexed="64"/>
      </right>
      <top style="medium">
        <color rgb="FF7030A0"/>
      </top>
      <bottom style="medium">
        <color indexed="64"/>
      </bottom>
      <diagonal/>
    </border>
    <border>
      <left style="thin">
        <color indexed="64"/>
      </left>
      <right style="medium">
        <color rgb="FF7030A0"/>
      </right>
      <top style="medium">
        <color rgb="FF7030A0"/>
      </top>
      <bottom style="medium">
        <color indexed="64"/>
      </bottom>
      <diagonal/>
    </border>
    <border>
      <left style="medium">
        <color rgb="FF7030A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7030A0"/>
      </right>
      <top/>
      <bottom style="thin">
        <color indexed="64"/>
      </bottom>
      <diagonal/>
    </border>
    <border>
      <left style="medium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7030A0"/>
      </right>
      <top style="thin">
        <color indexed="64"/>
      </top>
      <bottom style="thin">
        <color indexed="64"/>
      </bottom>
      <diagonal/>
    </border>
    <border>
      <left style="medium">
        <color rgb="FF7030A0"/>
      </left>
      <right style="thin">
        <color indexed="64"/>
      </right>
      <top style="thin">
        <color indexed="64"/>
      </top>
      <bottom style="medium">
        <color rgb="FF7030A0"/>
      </bottom>
      <diagonal/>
    </border>
    <border>
      <left style="thin">
        <color indexed="64"/>
      </left>
      <right style="medium">
        <color rgb="FF7030A0"/>
      </right>
      <top style="thin">
        <color indexed="64"/>
      </top>
      <bottom style="medium">
        <color rgb="FF7030A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justify" vertical="center" wrapText="1"/>
    </xf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9" xfId="0" applyBorder="1"/>
    <xf numFmtId="49" fontId="0" fillId="0" borderId="10" xfId="0" applyNumberFormat="1" applyBorder="1"/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5" borderId="16" xfId="0" applyFill="1" applyBorder="1"/>
    <xf numFmtId="0" fontId="0" fillId="6" borderId="7" xfId="0" applyFill="1" applyBorder="1"/>
    <xf numFmtId="0" fontId="0" fillId="4" borderId="7" xfId="0" applyFill="1" applyBorder="1"/>
    <xf numFmtId="0" fontId="3" fillId="3" borderId="5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7" borderId="2" xfId="0" applyFont="1" applyFill="1" applyBorder="1" applyAlignment="1">
      <alignment horizontal="justify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3" borderId="2" xfId="0" applyFont="1" applyFill="1" applyBorder="1" applyAlignment="1">
      <alignment horizontal="justify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/>
    <xf numFmtId="9" fontId="0" fillId="0" borderId="0" xfId="0" applyNumberFormat="1"/>
    <xf numFmtId="0" fontId="8" fillId="3" borderId="3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0" fillId="5" borderId="23" xfId="0" applyFill="1" applyBorder="1"/>
    <xf numFmtId="0" fontId="0" fillId="0" borderId="24" xfId="0" applyBorder="1"/>
    <xf numFmtId="0" fontId="0" fillId="6" borderId="25" xfId="0" applyFill="1" applyBorder="1"/>
    <xf numFmtId="0" fontId="0" fillId="0" borderId="26" xfId="0" applyBorder="1"/>
    <xf numFmtId="0" fontId="0" fillId="4" borderId="25" xfId="0" applyFill="1" applyBorder="1"/>
    <xf numFmtId="0" fontId="0" fillId="0" borderId="27" xfId="0" applyBorder="1"/>
    <xf numFmtId="49" fontId="0" fillId="0" borderId="28" xfId="0" applyNumberFormat="1" applyBorder="1"/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3" fillId="3" borderId="5" xfId="0" applyFont="1" applyFill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justify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E1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6071-69C0-4BC6-AF85-0A1688AE2496}">
  <dimension ref="A2:D43"/>
  <sheetViews>
    <sheetView topLeftCell="A17" zoomScale="81" zoomScaleNormal="155" workbookViewId="0">
      <selection activeCell="H41" sqref="H41"/>
    </sheetView>
  </sheetViews>
  <sheetFormatPr baseColWidth="10" defaultRowHeight="15" x14ac:dyDescent="0.2"/>
  <cols>
    <col min="1" max="1" width="19.83203125" customWidth="1"/>
    <col min="2" max="2" width="26.83203125" customWidth="1"/>
    <col min="3" max="3" width="38.1640625" customWidth="1"/>
    <col min="4" max="4" width="36.6640625" customWidth="1"/>
  </cols>
  <sheetData>
    <row r="2" spans="1:4" ht="16" thickBot="1" x14ac:dyDescent="0.25">
      <c r="A2" s="1"/>
      <c r="B2" s="40" t="s">
        <v>0</v>
      </c>
      <c r="C2" s="40"/>
      <c r="D2" s="40"/>
    </row>
    <row r="3" spans="1:4" ht="16" thickBot="1" x14ac:dyDescent="0.25">
      <c r="A3" s="2" t="s">
        <v>38</v>
      </c>
      <c r="B3" s="2" t="s">
        <v>1</v>
      </c>
      <c r="C3" s="2" t="s">
        <v>2</v>
      </c>
      <c r="D3" s="2" t="s">
        <v>3</v>
      </c>
    </row>
    <row r="4" spans="1:4" ht="25" thickBot="1" x14ac:dyDescent="0.25">
      <c r="A4" s="38" t="s">
        <v>4</v>
      </c>
      <c r="B4" s="41" t="s">
        <v>5</v>
      </c>
      <c r="C4" s="47" t="s">
        <v>6</v>
      </c>
      <c r="D4" s="19" t="s">
        <v>35</v>
      </c>
    </row>
    <row r="5" spans="1:4" ht="16" thickBot="1" x14ac:dyDescent="0.25">
      <c r="A5" s="39"/>
      <c r="B5" s="42"/>
      <c r="C5" s="47"/>
      <c r="D5" s="3" t="s">
        <v>37</v>
      </c>
    </row>
    <row r="6" spans="1:4" ht="25" thickBot="1" x14ac:dyDescent="0.25">
      <c r="A6" s="39"/>
      <c r="B6" s="42"/>
      <c r="C6" s="48"/>
      <c r="D6" s="19" t="s">
        <v>57</v>
      </c>
    </row>
    <row r="7" spans="1:4" ht="16" thickBot="1" x14ac:dyDescent="0.25">
      <c r="A7" s="39"/>
      <c r="B7" s="42"/>
      <c r="C7" s="41" t="s">
        <v>7</v>
      </c>
      <c r="D7" s="3" t="s">
        <v>90</v>
      </c>
    </row>
    <row r="8" spans="1:4" ht="25" thickBot="1" x14ac:dyDescent="0.25">
      <c r="A8" s="39"/>
      <c r="B8" s="42"/>
      <c r="C8" s="51"/>
      <c r="D8" s="19" t="s">
        <v>91</v>
      </c>
    </row>
    <row r="9" spans="1:4" ht="16" thickBot="1" x14ac:dyDescent="0.25">
      <c r="A9" s="39"/>
      <c r="B9" s="42"/>
      <c r="C9" s="49" t="s">
        <v>8</v>
      </c>
      <c r="D9" s="3" t="s">
        <v>36</v>
      </c>
    </row>
    <row r="10" spans="1:4" ht="25" thickBot="1" x14ac:dyDescent="0.25">
      <c r="A10" s="39"/>
      <c r="B10" s="42"/>
      <c r="C10" s="48"/>
      <c r="D10" s="19" t="s">
        <v>92</v>
      </c>
    </row>
    <row r="11" spans="1:4" ht="25" thickBot="1" x14ac:dyDescent="0.25">
      <c r="A11" s="39"/>
      <c r="B11" s="43" t="s">
        <v>9</v>
      </c>
      <c r="C11" s="17" t="s">
        <v>113</v>
      </c>
      <c r="D11" s="3" t="s">
        <v>39</v>
      </c>
    </row>
    <row r="12" spans="1:4" ht="52" customHeight="1" thickBot="1" x14ac:dyDescent="0.25">
      <c r="A12" s="39"/>
      <c r="B12" s="43"/>
      <c r="C12" s="20" t="s">
        <v>93</v>
      </c>
      <c r="D12" s="19" t="s">
        <v>94</v>
      </c>
    </row>
    <row r="13" spans="1:4" ht="25" thickBot="1" x14ac:dyDescent="0.25">
      <c r="A13" s="39"/>
      <c r="B13" s="43"/>
      <c r="C13" s="19" t="s">
        <v>10</v>
      </c>
      <c r="D13" s="19" t="s">
        <v>42</v>
      </c>
    </row>
    <row r="14" spans="1:4" ht="25" customHeight="1" thickBot="1" x14ac:dyDescent="0.25">
      <c r="A14" s="39"/>
      <c r="B14" s="43"/>
      <c r="C14" s="3" t="s">
        <v>43</v>
      </c>
      <c r="D14" s="3" t="s">
        <v>44</v>
      </c>
    </row>
    <row r="15" spans="1:4" ht="25" customHeight="1" thickBot="1" x14ac:dyDescent="0.25">
      <c r="A15" s="39"/>
      <c r="B15" s="43"/>
      <c r="C15" s="19" t="s">
        <v>40</v>
      </c>
      <c r="D15" s="19" t="s">
        <v>41</v>
      </c>
    </row>
    <row r="16" spans="1:4" ht="37" thickBot="1" x14ac:dyDescent="0.25">
      <c r="A16" s="39"/>
      <c r="B16" s="44" t="s">
        <v>114</v>
      </c>
      <c r="C16" s="41" t="s">
        <v>11</v>
      </c>
      <c r="D16" s="3" t="s">
        <v>52</v>
      </c>
    </row>
    <row r="17" spans="1:4" ht="25" thickBot="1" x14ac:dyDescent="0.25">
      <c r="A17" s="39"/>
      <c r="B17" s="44"/>
      <c r="C17" s="51"/>
      <c r="D17" s="19" t="s">
        <v>95</v>
      </c>
    </row>
    <row r="18" spans="1:4" ht="25" thickBot="1" x14ac:dyDescent="0.25">
      <c r="A18" s="39"/>
      <c r="B18" s="44"/>
      <c r="C18" s="49" t="s">
        <v>12</v>
      </c>
      <c r="D18" s="3" t="s">
        <v>51</v>
      </c>
    </row>
    <row r="19" spans="1:4" ht="26" customHeight="1" thickBot="1" x14ac:dyDescent="0.25">
      <c r="A19" s="39"/>
      <c r="B19" s="44"/>
      <c r="C19" s="48"/>
      <c r="D19" s="19" t="s">
        <v>96</v>
      </c>
    </row>
    <row r="20" spans="1:4" ht="25" thickBot="1" x14ac:dyDescent="0.25">
      <c r="A20" s="39"/>
      <c r="B20" s="45"/>
      <c r="C20" s="3" t="s">
        <v>45</v>
      </c>
      <c r="D20" s="3" t="s">
        <v>50</v>
      </c>
    </row>
    <row r="21" spans="1:4" ht="16" thickBot="1" x14ac:dyDescent="0.25">
      <c r="A21" s="39"/>
      <c r="B21" s="43" t="s">
        <v>13</v>
      </c>
      <c r="C21" s="49" t="s">
        <v>55</v>
      </c>
      <c r="D21" s="19" t="s">
        <v>67</v>
      </c>
    </row>
    <row r="22" spans="1:4" ht="25" thickBot="1" x14ac:dyDescent="0.25">
      <c r="A22" s="39"/>
      <c r="B22" s="43"/>
      <c r="C22" s="48"/>
      <c r="D22" s="3" t="s">
        <v>54</v>
      </c>
    </row>
    <row r="23" spans="1:4" ht="16" thickBot="1" x14ac:dyDescent="0.25">
      <c r="A23" s="39"/>
      <c r="B23" s="43"/>
      <c r="C23" s="3" t="s">
        <v>56</v>
      </c>
      <c r="D23" s="19" t="s">
        <v>14</v>
      </c>
    </row>
    <row r="24" spans="1:4" ht="16" thickBot="1" x14ac:dyDescent="0.25">
      <c r="A24" s="39"/>
      <c r="B24" s="46"/>
      <c r="C24" s="19" t="s">
        <v>53</v>
      </c>
      <c r="D24" s="3" t="s">
        <v>58</v>
      </c>
    </row>
    <row r="25" spans="1:4" ht="39" customHeight="1" thickBot="1" x14ac:dyDescent="0.25">
      <c r="A25" s="39"/>
      <c r="B25" s="50" t="s">
        <v>15</v>
      </c>
      <c r="C25" s="41" t="s">
        <v>16</v>
      </c>
      <c r="D25" s="19" t="s">
        <v>17</v>
      </c>
    </row>
    <row r="26" spans="1:4" ht="30" customHeight="1" thickBot="1" x14ac:dyDescent="0.25">
      <c r="A26" s="39"/>
      <c r="B26" s="44"/>
      <c r="C26" s="51"/>
      <c r="D26" s="3" t="s">
        <v>63</v>
      </c>
    </row>
    <row r="27" spans="1:4" ht="25" thickBot="1" x14ac:dyDescent="0.25">
      <c r="A27" s="39"/>
      <c r="B27" s="44"/>
      <c r="C27" s="49" t="s">
        <v>18</v>
      </c>
      <c r="D27" s="19" t="s">
        <v>59</v>
      </c>
    </row>
    <row r="28" spans="1:4" ht="25" thickBot="1" x14ac:dyDescent="0.25">
      <c r="A28" s="39"/>
      <c r="B28" s="44"/>
      <c r="C28" s="47"/>
      <c r="D28" s="3" t="s">
        <v>62</v>
      </c>
    </row>
    <row r="29" spans="1:4" ht="28" customHeight="1" thickBot="1" x14ac:dyDescent="0.25">
      <c r="A29" s="39"/>
      <c r="B29" s="44"/>
      <c r="C29" s="48"/>
      <c r="D29" s="19" t="s">
        <v>97</v>
      </c>
    </row>
    <row r="30" spans="1:4" ht="25" thickBot="1" x14ac:dyDescent="0.25">
      <c r="A30" s="39"/>
      <c r="B30" s="45"/>
      <c r="C30" s="3" t="s">
        <v>61</v>
      </c>
      <c r="D30" s="3" t="s">
        <v>60</v>
      </c>
    </row>
    <row r="31" spans="1:4" ht="25" thickBot="1" x14ac:dyDescent="0.25">
      <c r="A31" s="39"/>
      <c r="B31" s="18" t="s">
        <v>19</v>
      </c>
      <c r="C31" s="19" t="s">
        <v>98</v>
      </c>
      <c r="D31" s="19" t="s">
        <v>99</v>
      </c>
    </row>
    <row r="32" spans="1:4" ht="25" thickBot="1" x14ac:dyDescent="0.25">
      <c r="A32" s="39"/>
      <c r="B32" s="50" t="s">
        <v>20</v>
      </c>
      <c r="C32" s="3" t="s">
        <v>21</v>
      </c>
      <c r="D32" s="3" t="s">
        <v>22</v>
      </c>
    </row>
    <row r="33" spans="1:4" ht="16" thickBot="1" x14ac:dyDescent="0.25">
      <c r="A33" s="39"/>
      <c r="B33" s="45"/>
      <c r="C33" s="3" t="s">
        <v>65</v>
      </c>
      <c r="D33" s="3" t="s">
        <v>66</v>
      </c>
    </row>
    <row r="34" spans="1:4" ht="29" customHeight="1" thickBot="1" x14ac:dyDescent="0.25">
      <c r="A34" s="39"/>
      <c r="B34" s="49" t="s">
        <v>34</v>
      </c>
      <c r="C34" s="49" t="s">
        <v>47</v>
      </c>
      <c r="D34" s="19" t="s">
        <v>46</v>
      </c>
    </row>
    <row r="35" spans="1:4" ht="16" thickBot="1" x14ac:dyDescent="0.25">
      <c r="A35" s="39"/>
      <c r="B35" s="47"/>
      <c r="C35" s="48"/>
      <c r="D35" s="3" t="s">
        <v>49</v>
      </c>
    </row>
    <row r="36" spans="1:4" ht="25" thickBot="1" x14ac:dyDescent="0.25">
      <c r="A36" s="39"/>
      <c r="B36" s="47"/>
      <c r="C36" s="41" t="s">
        <v>48</v>
      </c>
      <c r="D36" s="19" t="s">
        <v>248</v>
      </c>
    </row>
    <row r="37" spans="1:4" ht="25" thickBot="1" x14ac:dyDescent="0.25">
      <c r="A37" s="39"/>
      <c r="B37" s="48"/>
      <c r="C37" s="51"/>
      <c r="D37" s="3" t="s">
        <v>64</v>
      </c>
    </row>
    <row r="38" spans="1:4" ht="25" thickBot="1" x14ac:dyDescent="0.25">
      <c r="A38" s="39"/>
      <c r="B38" s="50" t="s">
        <v>100</v>
      </c>
      <c r="C38" s="19" t="s">
        <v>101</v>
      </c>
      <c r="D38" s="19" t="s">
        <v>106</v>
      </c>
    </row>
    <row r="39" spans="1:4" ht="25" thickBot="1" x14ac:dyDescent="0.25">
      <c r="A39" s="39"/>
      <c r="B39" s="44"/>
      <c r="C39" s="3" t="s">
        <v>102</v>
      </c>
      <c r="D39" s="3" t="s">
        <v>103</v>
      </c>
    </row>
    <row r="40" spans="1:4" ht="25" thickBot="1" x14ac:dyDescent="0.25">
      <c r="A40" s="39"/>
      <c r="B40" s="44"/>
      <c r="C40" s="19" t="s">
        <v>104</v>
      </c>
      <c r="D40" s="19" t="s">
        <v>105</v>
      </c>
    </row>
    <row r="41" spans="1:4" ht="25" thickBot="1" x14ac:dyDescent="0.25">
      <c r="A41" s="39"/>
      <c r="B41" s="44"/>
      <c r="C41" s="3" t="s">
        <v>108</v>
      </c>
      <c r="D41" s="3" t="s">
        <v>107</v>
      </c>
    </row>
    <row r="42" spans="1:4" ht="25" thickBot="1" x14ac:dyDescent="0.25">
      <c r="A42" s="39"/>
      <c r="B42" s="44"/>
      <c r="C42" s="19" t="s">
        <v>109</v>
      </c>
      <c r="D42" s="19" t="s">
        <v>110</v>
      </c>
    </row>
    <row r="43" spans="1:4" ht="16" thickBot="1" x14ac:dyDescent="0.25">
      <c r="A43" s="39"/>
      <c r="B43" s="45"/>
      <c r="C43" s="3" t="s">
        <v>112</v>
      </c>
      <c r="D43" s="3" t="s">
        <v>111</v>
      </c>
    </row>
  </sheetData>
  <mergeCells count="20">
    <mergeCell ref="C9:C10"/>
    <mergeCell ref="C16:C17"/>
    <mergeCell ref="C18:C19"/>
    <mergeCell ref="C27:C29"/>
    <mergeCell ref="A4:A43"/>
    <mergeCell ref="B2:D2"/>
    <mergeCell ref="B4:B10"/>
    <mergeCell ref="B11:B15"/>
    <mergeCell ref="B16:B20"/>
    <mergeCell ref="B21:B24"/>
    <mergeCell ref="C4:C6"/>
    <mergeCell ref="B34:B37"/>
    <mergeCell ref="B38:B43"/>
    <mergeCell ref="C34:C35"/>
    <mergeCell ref="C21:C22"/>
    <mergeCell ref="C36:C37"/>
    <mergeCell ref="C25:C26"/>
    <mergeCell ref="B25:B30"/>
    <mergeCell ref="B32:B33"/>
    <mergeCell ref="C7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90E2-5129-ED4D-BF55-72114F3AE8A2}">
  <dimension ref="A1:O45"/>
  <sheetViews>
    <sheetView workbookViewId="0">
      <selection activeCell="K7" sqref="K7"/>
    </sheetView>
  </sheetViews>
  <sheetFormatPr baseColWidth="10" defaultRowHeight="15" x14ac:dyDescent="0.2"/>
  <cols>
    <col min="3" max="3" width="15.33203125" customWidth="1"/>
    <col min="11" max="11" width="20.5" customWidth="1"/>
  </cols>
  <sheetData>
    <row r="1" spans="1:13" x14ac:dyDescent="0.2">
      <c r="A1" s="61" t="s">
        <v>286</v>
      </c>
      <c r="B1" s="61"/>
      <c r="C1" s="61"/>
      <c r="D1" s="61"/>
      <c r="E1" s="61"/>
      <c r="F1" s="61"/>
      <c r="G1" s="61"/>
    </row>
    <row r="2" spans="1:13" x14ac:dyDescent="0.2">
      <c r="A2" s="61"/>
      <c r="B2" s="61"/>
      <c r="C2" s="61"/>
      <c r="D2" s="61"/>
      <c r="E2" s="61"/>
      <c r="F2" s="61"/>
      <c r="G2" s="61"/>
    </row>
    <row r="4" spans="1:13" ht="16" thickBot="1" x14ac:dyDescent="0.25"/>
    <row r="5" spans="1:13" ht="30" customHeight="1" thickBot="1" x14ac:dyDescent="0.25">
      <c r="A5" s="55" t="s">
        <v>287</v>
      </c>
      <c r="B5" s="56"/>
      <c r="C5" s="56"/>
      <c r="D5" s="56"/>
      <c r="E5" s="56"/>
      <c r="F5" s="56"/>
      <c r="G5" s="57"/>
      <c r="J5" s="29" t="s">
        <v>68</v>
      </c>
      <c r="K5" s="30" t="s">
        <v>73</v>
      </c>
    </row>
    <row r="6" spans="1:13" ht="15" customHeight="1" thickBot="1" x14ac:dyDescent="0.25">
      <c r="A6" s="28" t="s">
        <v>288</v>
      </c>
      <c r="B6" s="58" t="s">
        <v>322</v>
      </c>
      <c r="C6" s="59"/>
      <c r="D6" s="58" t="s">
        <v>289</v>
      </c>
      <c r="E6" s="60"/>
      <c r="F6" s="60"/>
      <c r="G6" s="59"/>
      <c r="J6" s="31" t="s">
        <v>69</v>
      </c>
      <c r="K6" s="32" t="s">
        <v>75</v>
      </c>
    </row>
    <row r="7" spans="1:13" ht="29" customHeight="1" thickBot="1" x14ac:dyDescent="0.25">
      <c r="A7" s="25">
        <v>1</v>
      </c>
      <c r="B7" s="52" t="s">
        <v>290</v>
      </c>
      <c r="C7" s="53"/>
      <c r="D7" s="52" t="s">
        <v>291</v>
      </c>
      <c r="E7" s="54"/>
      <c r="F7" s="54"/>
      <c r="G7" s="53"/>
      <c r="J7" s="33" t="s">
        <v>70</v>
      </c>
      <c r="K7" s="34" t="s">
        <v>76</v>
      </c>
    </row>
    <row r="8" spans="1:13" ht="29" customHeight="1" thickBot="1" x14ac:dyDescent="0.25">
      <c r="A8" s="25">
        <v>2</v>
      </c>
      <c r="B8" s="52" t="s">
        <v>292</v>
      </c>
      <c r="C8" s="53"/>
      <c r="D8" s="52" t="s">
        <v>293</v>
      </c>
      <c r="E8" s="54"/>
      <c r="F8" s="54"/>
      <c r="G8" s="53"/>
      <c r="J8" s="35" t="s">
        <v>71</v>
      </c>
      <c r="K8" s="34" t="s">
        <v>77</v>
      </c>
    </row>
    <row r="9" spans="1:13" ht="16" thickBot="1" x14ac:dyDescent="0.25">
      <c r="A9" s="25">
        <v>3</v>
      </c>
      <c r="B9" s="52" t="s">
        <v>294</v>
      </c>
      <c r="C9" s="53"/>
      <c r="D9" s="52" t="s">
        <v>295</v>
      </c>
      <c r="E9" s="54"/>
      <c r="F9" s="54"/>
      <c r="G9" s="53"/>
      <c r="J9" s="36" t="s">
        <v>72</v>
      </c>
      <c r="K9" s="37" t="s">
        <v>345</v>
      </c>
    </row>
    <row r="10" spans="1:13" ht="16" thickBot="1" x14ac:dyDescent="0.25">
      <c r="A10" s="25">
        <v>4</v>
      </c>
      <c r="B10" s="52" t="s">
        <v>296</v>
      </c>
      <c r="C10" s="53"/>
      <c r="D10" s="52" t="s">
        <v>297</v>
      </c>
      <c r="E10" s="54"/>
      <c r="F10" s="54"/>
      <c r="G10" s="53"/>
    </row>
    <row r="11" spans="1:13" ht="16" thickBot="1" x14ac:dyDescent="0.25">
      <c r="A11" s="25">
        <v>5</v>
      </c>
      <c r="B11" s="52" t="s">
        <v>71</v>
      </c>
      <c r="C11" s="53"/>
      <c r="D11" s="52" t="s">
        <v>298</v>
      </c>
      <c r="E11" s="54"/>
      <c r="F11" s="54"/>
      <c r="G11" s="53"/>
      <c r="K11" s="26"/>
    </row>
    <row r="12" spans="1:13" ht="16" thickBot="1" x14ac:dyDescent="0.25">
      <c r="A12" s="25">
        <v>6</v>
      </c>
      <c r="B12" s="52" t="s">
        <v>299</v>
      </c>
      <c r="C12" s="53"/>
      <c r="D12" s="52" t="s">
        <v>300</v>
      </c>
      <c r="E12" s="54"/>
      <c r="F12" s="54"/>
      <c r="G12" s="53"/>
      <c r="K12" s="26"/>
    </row>
    <row r="13" spans="1:13" ht="16" thickBot="1" x14ac:dyDescent="0.25">
      <c r="A13" s="25">
        <v>7</v>
      </c>
      <c r="B13" s="52" t="s">
        <v>69</v>
      </c>
      <c r="C13" s="53"/>
      <c r="D13" s="52" t="s">
        <v>301</v>
      </c>
      <c r="E13" s="54"/>
      <c r="F13" s="54"/>
      <c r="G13" s="53"/>
      <c r="K13" s="26"/>
    </row>
    <row r="14" spans="1:13" ht="16" thickBot="1" x14ac:dyDescent="0.25">
      <c r="A14" s="25">
        <v>8</v>
      </c>
      <c r="B14" s="52" t="s">
        <v>302</v>
      </c>
      <c r="C14" s="53"/>
      <c r="D14" s="52" t="s">
        <v>303</v>
      </c>
      <c r="E14" s="54"/>
      <c r="F14" s="54"/>
      <c r="G14" s="53"/>
    </row>
    <row r="15" spans="1:13" x14ac:dyDescent="0.2">
      <c r="A15" s="25" t="s">
        <v>306</v>
      </c>
      <c r="B15" s="52" t="s">
        <v>304</v>
      </c>
      <c r="C15" s="53"/>
      <c r="D15" s="52" t="s">
        <v>305</v>
      </c>
      <c r="E15" s="54"/>
      <c r="F15" s="54"/>
      <c r="G15" s="53"/>
    </row>
    <row r="16" spans="1:13" x14ac:dyDescent="0.2">
      <c r="K16" s="26"/>
      <c r="L16" s="26"/>
      <c r="M16" s="26"/>
    </row>
    <row r="18" spans="1:13" ht="16" thickBot="1" x14ac:dyDescent="0.25"/>
    <row r="19" spans="1:13" ht="29" customHeight="1" thickBot="1" x14ac:dyDescent="0.25">
      <c r="A19" s="55" t="s">
        <v>307</v>
      </c>
      <c r="B19" s="56"/>
      <c r="C19" s="56"/>
      <c r="D19" s="56"/>
      <c r="E19" s="56"/>
      <c r="F19" s="56"/>
      <c r="G19" s="57"/>
    </row>
    <row r="20" spans="1:13" ht="16" customHeight="1" thickBot="1" x14ac:dyDescent="0.25">
      <c r="A20" s="28" t="s">
        <v>288</v>
      </c>
      <c r="B20" s="58" t="s">
        <v>308</v>
      </c>
      <c r="C20" s="59"/>
      <c r="D20" s="58" t="s">
        <v>309</v>
      </c>
      <c r="E20" s="60"/>
      <c r="F20" s="60"/>
      <c r="G20" s="59"/>
    </row>
    <row r="21" spans="1:13" ht="16" customHeight="1" thickBot="1" x14ac:dyDescent="0.25">
      <c r="A21" s="25">
        <v>1</v>
      </c>
      <c r="B21" s="52">
        <v>0</v>
      </c>
      <c r="C21" s="53"/>
      <c r="D21" s="52" t="s">
        <v>310</v>
      </c>
      <c r="E21" s="54"/>
      <c r="F21" s="54"/>
      <c r="G21" s="53"/>
    </row>
    <row r="22" spans="1:13" ht="16" customHeight="1" thickBot="1" x14ac:dyDescent="0.25">
      <c r="A22" s="25">
        <v>2</v>
      </c>
      <c r="B22" s="52" t="s">
        <v>311</v>
      </c>
      <c r="C22" s="53"/>
      <c r="D22" s="52" t="s">
        <v>312</v>
      </c>
      <c r="E22" s="54"/>
      <c r="F22" s="54"/>
      <c r="G22" s="53"/>
    </row>
    <row r="23" spans="1:13" ht="16" customHeight="1" thickBot="1" x14ac:dyDescent="0.25">
      <c r="A23" s="25">
        <v>3</v>
      </c>
      <c r="B23" s="52" t="s">
        <v>313</v>
      </c>
      <c r="C23" s="53"/>
      <c r="D23" s="52" t="s">
        <v>294</v>
      </c>
      <c r="E23" s="54"/>
      <c r="F23" s="54"/>
      <c r="G23" s="53"/>
    </row>
    <row r="24" spans="1:13" ht="16" customHeight="1" thickBot="1" x14ac:dyDescent="0.25">
      <c r="A24" s="25">
        <v>4</v>
      </c>
      <c r="B24" s="52" t="s">
        <v>314</v>
      </c>
      <c r="C24" s="53"/>
      <c r="D24" s="52" t="s">
        <v>296</v>
      </c>
      <c r="E24" s="54"/>
      <c r="F24" s="54"/>
      <c r="G24" s="53"/>
    </row>
    <row r="25" spans="1:13" ht="16" customHeight="1" thickBot="1" x14ac:dyDescent="0.25">
      <c r="A25" s="25">
        <v>5</v>
      </c>
      <c r="B25" s="52" t="s">
        <v>315</v>
      </c>
      <c r="C25" s="53"/>
      <c r="D25" s="52" t="s">
        <v>71</v>
      </c>
      <c r="E25" s="54"/>
      <c r="F25" s="54"/>
      <c r="G25" s="53"/>
    </row>
    <row r="26" spans="1:13" ht="16" customHeight="1" thickBot="1" x14ac:dyDescent="0.25">
      <c r="A26" s="25">
        <v>6</v>
      </c>
      <c r="B26" s="52" t="s">
        <v>316</v>
      </c>
      <c r="C26" s="53"/>
      <c r="D26" s="52" t="s">
        <v>299</v>
      </c>
      <c r="E26" s="54"/>
      <c r="F26" s="54"/>
      <c r="G26" s="53"/>
      <c r="K26" s="26"/>
      <c r="L26" s="26"/>
      <c r="M26" s="26"/>
    </row>
    <row r="27" spans="1:13" ht="16" customHeight="1" thickBot="1" x14ac:dyDescent="0.25">
      <c r="A27" s="25">
        <v>7</v>
      </c>
      <c r="B27" s="52" t="s">
        <v>317</v>
      </c>
      <c r="C27" s="53"/>
      <c r="D27" s="52" t="s">
        <v>69</v>
      </c>
      <c r="E27" s="54"/>
      <c r="F27" s="54"/>
      <c r="G27" s="53"/>
      <c r="L27" s="27"/>
    </row>
    <row r="28" spans="1:13" ht="16" customHeight="1" thickBot="1" x14ac:dyDescent="0.25">
      <c r="A28" s="25">
        <v>8</v>
      </c>
      <c r="B28" s="52" t="s">
        <v>318</v>
      </c>
      <c r="C28" s="53"/>
      <c r="D28" s="52" t="s">
        <v>302</v>
      </c>
      <c r="E28" s="54"/>
      <c r="F28" s="54"/>
      <c r="G28" s="53"/>
    </row>
    <row r="29" spans="1:13" ht="16" customHeight="1" thickBot="1" x14ac:dyDescent="0.25">
      <c r="A29" s="25">
        <v>9</v>
      </c>
      <c r="B29" s="52" t="s">
        <v>319</v>
      </c>
      <c r="C29" s="53"/>
      <c r="D29" s="52" t="s">
        <v>304</v>
      </c>
      <c r="E29" s="54"/>
      <c r="F29" s="54"/>
      <c r="G29" s="53"/>
    </row>
    <row r="30" spans="1:13" x14ac:dyDescent="0.2">
      <c r="A30" s="25">
        <v>10</v>
      </c>
      <c r="B30" s="52" t="s">
        <v>320</v>
      </c>
      <c r="C30" s="53"/>
      <c r="D30" s="52" t="s">
        <v>321</v>
      </c>
      <c r="E30" s="54"/>
      <c r="F30" s="54"/>
      <c r="G30" s="53"/>
    </row>
    <row r="33" spans="1:15" ht="16" thickBot="1" x14ac:dyDescent="0.25"/>
    <row r="34" spans="1:15" ht="28" customHeight="1" thickBot="1" x14ac:dyDescent="0.25">
      <c r="A34" s="55" t="s">
        <v>323</v>
      </c>
      <c r="B34" s="56"/>
      <c r="C34" s="56"/>
      <c r="D34" s="56"/>
      <c r="E34" s="56"/>
      <c r="F34" s="56"/>
      <c r="G34" s="57"/>
      <c r="M34" s="26"/>
      <c r="N34" s="26"/>
      <c r="O34" s="26"/>
    </row>
    <row r="35" spans="1:15" ht="16" thickBot="1" x14ac:dyDescent="0.25">
      <c r="A35" s="28" t="s">
        <v>288</v>
      </c>
      <c r="B35" s="58" t="s">
        <v>324</v>
      </c>
      <c r="C35" s="59"/>
      <c r="D35" s="58" t="s">
        <v>309</v>
      </c>
      <c r="E35" s="60"/>
      <c r="F35" s="60"/>
      <c r="G35" s="59"/>
    </row>
    <row r="36" spans="1:15" ht="16" customHeight="1" thickBot="1" x14ac:dyDescent="0.25">
      <c r="A36" s="25">
        <v>1</v>
      </c>
      <c r="B36" s="52" t="s">
        <v>325</v>
      </c>
      <c r="C36" s="53"/>
      <c r="D36" s="52" t="s">
        <v>326</v>
      </c>
      <c r="E36" s="54"/>
      <c r="F36" s="54"/>
      <c r="G36" s="53"/>
    </row>
    <row r="37" spans="1:15" ht="16" customHeight="1" thickBot="1" x14ac:dyDescent="0.25">
      <c r="A37" s="25">
        <v>2</v>
      </c>
      <c r="B37" s="52" t="s">
        <v>327</v>
      </c>
      <c r="C37" s="53"/>
      <c r="D37" s="52" t="s">
        <v>328</v>
      </c>
      <c r="E37" s="54"/>
      <c r="F37" s="54"/>
      <c r="G37" s="53"/>
    </row>
    <row r="38" spans="1:15" ht="16" customHeight="1" thickBot="1" x14ac:dyDescent="0.25">
      <c r="A38" s="25">
        <v>3</v>
      </c>
      <c r="B38" s="52" t="s">
        <v>329</v>
      </c>
      <c r="C38" s="53"/>
      <c r="D38" s="52" t="s">
        <v>330</v>
      </c>
      <c r="E38" s="54"/>
      <c r="F38" s="54"/>
      <c r="G38" s="53"/>
    </row>
    <row r="39" spans="1:15" ht="16" customHeight="1" thickBot="1" x14ac:dyDescent="0.25">
      <c r="A39" s="25">
        <v>4</v>
      </c>
      <c r="B39" s="52" t="s">
        <v>331</v>
      </c>
      <c r="C39" s="53"/>
      <c r="D39" s="52" t="s">
        <v>332</v>
      </c>
      <c r="E39" s="54"/>
      <c r="F39" s="54"/>
      <c r="G39" s="53"/>
    </row>
    <row r="40" spans="1:15" ht="16" customHeight="1" thickBot="1" x14ac:dyDescent="0.25">
      <c r="A40" s="25">
        <v>5</v>
      </c>
      <c r="B40" s="52" t="s">
        <v>333</v>
      </c>
      <c r="C40" s="53"/>
      <c r="D40" s="52" t="s">
        <v>334</v>
      </c>
      <c r="E40" s="54"/>
      <c r="F40" s="54"/>
      <c r="G40" s="53"/>
    </row>
    <row r="41" spans="1:15" ht="16" thickBot="1" x14ac:dyDescent="0.25">
      <c r="A41" s="25">
        <v>6</v>
      </c>
      <c r="B41" s="52" t="s">
        <v>335</v>
      </c>
      <c r="C41" s="53"/>
      <c r="D41" s="52" t="s">
        <v>336</v>
      </c>
      <c r="E41" s="54"/>
      <c r="F41" s="54"/>
      <c r="G41" s="53"/>
    </row>
    <row r="42" spans="1:15" ht="16" thickBot="1" x14ac:dyDescent="0.25">
      <c r="A42" s="25">
        <v>7</v>
      </c>
      <c r="B42" s="52" t="s">
        <v>337</v>
      </c>
      <c r="C42" s="53"/>
      <c r="D42" s="52" t="s">
        <v>338</v>
      </c>
      <c r="E42" s="54"/>
      <c r="F42" s="54"/>
      <c r="G42" s="53"/>
    </row>
    <row r="43" spans="1:15" ht="16" thickBot="1" x14ac:dyDescent="0.25">
      <c r="A43" s="25">
        <v>8</v>
      </c>
      <c r="B43" s="52" t="s">
        <v>339</v>
      </c>
      <c r="C43" s="53"/>
      <c r="D43" s="52" t="s">
        <v>340</v>
      </c>
      <c r="E43" s="54"/>
      <c r="F43" s="54"/>
      <c r="G43" s="53"/>
    </row>
    <row r="44" spans="1:15" ht="16" customHeight="1" thickBot="1" x14ac:dyDescent="0.25">
      <c r="A44" s="25">
        <v>9</v>
      </c>
      <c r="B44" s="52" t="s">
        <v>341</v>
      </c>
      <c r="C44" s="53"/>
      <c r="D44" s="52" t="s">
        <v>342</v>
      </c>
      <c r="E44" s="54"/>
      <c r="F44" s="54"/>
      <c r="G44" s="53"/>
    </row>
    <row r="45" spans="1:15" x14ac:dyDescent="0.2">
      <c r="A45" s="25">
        <v>10</v>
      </c>
      <c r="B45" s="52" t="s">
        <v>343</v>
      </c>
      <c r="C45" s="53"/>
      <c r="D45" s="52" t="s">
        <v>344</v>
      </c>
      <c r="E45" s="54"/>
      <c r="F45" s="54"/>
      <c r="G45" s="53"/>
    </row>
  </sheetData>
  <mergeCells count="68">
    <mergeCell ref="A1:G2"/>
    <mergeCell ref="A5:G5"/>
    <mergeCell ref="D6:G6"/>
    <mergeCell ref="D8:G8"/>
    <mergeCell ref="D9:G9"/>
    <mergeCell ref="D10:G10"/>
    <mergeCell ref="D11:G11"/>
    <mergeCell ref="B6:C6"/>
    <mergeCell ref="B8:C8"/>
    <mergeCell ref="B9:C9"/>
    <mergeCell ref="B10:C10"/>
    <mergeCell ref="B11:C11"/>
    <mergeCell ref="D12:G12"/>
    <mergeCell ref="D13:G13"/>
    <mergeCell ref="B14:C14"/>
    <mergeCell ref="D14:G14"/>
    <mergeCell ref="B15:C15"/>
    <mergeCell ref="D15:G15"/>
    <mergeCell ref="B12:C12"/>
    <mergeCell ref="B13:C13"/>
    <mergeCell ref="B7:C7"/>
    <mergeCell ref="D7:G7"/>
    <mergeCell ref="B27:C27"/>
    <mergeCell ref="D27:G27"/>
    <mergeCell ref="B28:C28"/>
    <mergeCell ref="D28:G28"/>
    <mergeCell ref="B24:C24"/>
    <mergeCell ref="D24:G24"/>
    <mergeCell ref="B25:C25"/>
    <mergeCell ref="D25:G25"/>
    <mergeCell ref="B26:C26"/>
    <mergeCell ref="D26:G26"/>
    <mergeCell ref="A19:G19"/>
    <mergeCell ref="B20:C20"/>
    <mergeCell ref="D20:G20"/>
    <mergeCell ref="B22:C22"/>
    <mergeCell ref="B37:C37"/>
    <mergeCell ref="D37:G37"/>
    <mergeCell ref="B30:C30"/>
    <mergeCell ref="D30:G30"/>
    <mergeCell ref="B21:C21"/>
    <mergeCell ref="D21:G21"/>
    <mergeCell ref="B29:C29"/>
    <mergeCell ref="D29:G29"/>
    <mergeCell ref="D22:G22"/>
    <mergeCell ref="B23:C23"/>
    <mergeCell ref="D23:G23"/>
    <mergeCell ref="A34:G34"/>
    <mergeCell ref="B35:C35"/>
    <mergeCell ref="D35:G35"/>
    <mergeCell ref="B36:C36"/>
    <mergeCell ref="D36:G36"/>
    <mergeCell ref="B38:C38"/>
    <mergeCell ref="D38:G38"/>
    <mergeCell ref="B39:C39"/>
    <mergeCell ref="D39:G39"/>
    <mergeCell ref="B40:C40"/>
    <mergeCell ref="D40:G40"/>
    <mergeCell ref="B44:C44"/>
    <mergeCell ref="D44:G44"/>
    <mergeCell ref="B45:C45"/>
    <mergeCell ref="D45:G45"/>
    <mergeCell ref="B41:C41"/>
    <mergeCell ref="D41:G41"/>
    <mergeCell ref="B42:C42"/>
    <mergeCell ref="D42:G42"/>
    <mergeCell ref="B43:C43"/>
    <mergeCell ref="D43:G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4129-40A2-44C7-B06A-99A17CC1D295}">
  <dimension ref="A1:O41"/>
  <sheetViews>
    <sheetView tabSelected="1" workbookViewId="0">
      <selection activeCell="I4" sqref="I4"/>
    </sheetView>
  </sheetViews>
  <sheetFormatPr baseColWidth="10" defaultRowHeight="15" x14ac:dyDescent="0.2"/>
  <cols>
    <col min="1" max="1" width="48.5" customWidth="1"/>
    <col min="2" max="2" width="21.33203125" customWidth="1"/>
    <col min="3" max="3" width="16.83203125" customWidth="1"/>
    <col min="4" max="4" width="13.1640625" style="21" customWidth="1"/>
    <col min="5" max="5" width="17.5" customWidth="1"/>
    <col min="6" max="6" width="13.1640625" style="21" customWidth="1"/>
    <col min="7" max="7" width="31.83203125" customWidth="1"/>
    <col min="8" max="9" width="13.1640625" style="21" customWidth="1"/>
    <col min="10" max="10" width="34.1640625" customWidth="1"/>
    <col min="11" max="11" width="21.83203125" customWidth="1"/>
    <col min="13" max="13" width="16.33203125" customWidth="1"/>
  </cols>
  <sheetData>
    <row r="1" spans="1:15" ht="16" thickBot="1" x14ac:dyDescent="0.25"/>
    <row r="2" spans="1:15" ht="79" thickBot="1" x14ac:dyDescent="0.25">
      <c r="A2" s="22" t="s">
        <v>23</v>
      </c>
      <c r="B2" s="22" t="s">
        <v>24</v>
      </c>
      <c r="C2" s="22" t="s">
        <v>25</v>
      </c>
      <c r="D2" s="23" t="s">
        <v>31</v>
      </c>
      <c r="E2" s="22" t="s">
        <v>26</v>
      </c>
      <c r="F2" s="23" t="s">
        <v>30</v>
      </c>
      <c r="G2" s="22" t="s">
        <v>27</v>
      </c>
      <c r="H2" s="23" t="s">
        <v>32</v>
      </c>
      <c r="I2" s="23" t="s">
        <v>33</v>
      </c>
      <c r="J2" s="22" t="s">
        <v>28</v>
      </c>
      <c r="K2" s="22" t="s">
        <v>29</v>
      </c>
      <c r="M2" s="11" t="s">
        <v>68</v>
      </c>
      <c r="N2" s="12" t="s">
        <v>73</v>
      </c>
      <c r="O2" s="13" t="s">
        <v>74</v>
      </c>
    </row>
    <row r="3" spans="1:15" ht="37" thickBot="1" x14ac:dyDescent="0.25">
      <c r="A3" s="19" t="s">
        <v>35</v>
      </c>
      <c r="B3" s="19" t="s">
        <v>117</v>
      </c>
      <c r="C3" s="19" t="s">
        <v>115</v>
      </c>
      <c r="D3" s="24">
        <v>7</v>
      </c>
      <c r="E3" s="19" t="s">
        <v>116</v>
      </c>
      <c r="F3" s="24">
        <v>7</v>
      </c>
      <c r="G3" s="19" t="s">
        <v>79</v>
      </c>
      <c r="H3" s="24">
        <v>1</v>
      </c>
      <c r="I3" s="24">
        <f>D3*F3*H3</f>
        <v>49</v>
      </c>
      <c r="J3" s="19" t="s">
        <v>118</v>
      </c>
      <c r="K3" s="19" t="s">
        <v>88</v>
      </c>
      <c r="M3" s="14" t="s">
        <v>69</v>
      </c>
      <c r="N3" s="7" t="s">
        <v>75</v>
      </c>
      <c r="O3" s="8">
        <f>COUNTIF(I3:I30,"&gt;=500")</f>
        <v>0</v>
      </c>
    </row>
    <row r="4" spans="1:15" ht="37" thickBot="1" x14ac:dyDescent="0.25">
      <c r="A4" s="3" t="s">
        <v>37</v>
      </c>
      <c r="B4" s="19" t="s">
        <v>119</v>
      </c>
      <c r="C4" s="19" t="s">
        <v>120</v>
      </c>
      <c r="D4" s="24">
        <v>7</v>
      </c>
      <c r="E4" s="19" t="s">
        <v>121</v>
      </c>
      <c r="F4" s="24">
        <v>5</v>
      </c>
      <c r="G4" s="19" t="s">
        <v>80</v>
      </c>
      <c r="H4" s="24">
        <v>1</v>
      </c>
      <c r="I4" s="24">
        <f t="shared" ref="I4:I29" si="0">D4*F4*H4</f>
        <v>35</v>
      </c>
      <c r="J4" s="19" t="s">
        <v>122</v>
      </c>
      <c r="K4" s="19" t="s">
        <v>87</v>
      </c>
      <c r="M4" s="15" t="s">
        <v>70</v>
      </c>
      <c r="N4" s="4" t="s">
        <v>76</v>
      </c>
      <c r="O4" s="5">
        <f>COUNTIFS(I3:I30,"&gt;=125",I3:I30,"&lt;=499")</f>
        <v>18</v>
      </c>
    </row>
    <row r="5" spans="1:15" ht="49" thickBot="1" x14ac:dyDescent="0.25">
      <c r="A5" s="19" t="s">
        <v>57</v>
      </c>
      <c r="B5" s="19" t="s">
        <v>123</v>
      </c>
      <c r="C5" s="19" t="s">
        <v>124</v>
      </c>
      <c r="D5" s="24">
        <v>8</v>
      </c>
      <c r="E5" s="19" t="s">
        <v>125</v>
      </c>
      <c r="F5" s="24">
        <v>9</v>
      </c>
      <c r="G5" s="19" t="s">
        <v>81</v>
      </c>
      <c r="H5" s="24">
        <v>3</v>
      </c>
      <c r="I5" s="24">
        <f t="shared" si="0"/>
        <v>216</v>
      </c>
      <c r="J5" s="19" t="s">
        <v>134</v>
      </c>
      <c r="K5" s="19" t="s">
        <v>85</v>
      </c>
      <c r="M5" s="16" t="s">
        <v>71</v>
      </c>
      <c r="N5" s="4" t="s">
        <v>77</v>
      </c>
      <c r="O5" s="5">
        <f>COUNTIFS(I3:I30,"&gt;=10",I3:I30,"&lt;=124")</f>
        <v>10</v>
      </c>
    </row>
    <row r="6" spans="1:15" ht="49" thickBot="1" x14ac:dyDescent="0.25">
      <c r="A6" s="3" t="s">
        <v>90</v>
      </c>
      <c r="B6" s="19" t="s">
        <v>126</v>
      </c>
      <c r="C6" s="19" t="s">
        <v>127</v>
      </c>
      <c r="D6" s="24">
        <v>3</v>
      </c>
      <c r="E6" s="19" t="s">
        <v>128</v>
      </c>
      <c r="F6" s="24">
        <v>2</v>
      </c>
      <c r="G6" s="19" t="s">
        <v>129</v>
      </c>
      <c r="H6" s="24">
        <v>7</v>
      </c>
      <c r="I6" s="24">
        <f t="shared" si="0"/>
        <v>42</v>
      </c>
      <c r="J6" s="19" t="s">
        <v>82</v>
      </c>
      <c r="K6" s="19" t="s">
        <v>86</v>
      </c>
      <c r="M6" s="9" t="s">
        <v>72</v>
      </c>
      <c r="N6" s="10" t="s">
        <v>78</v>
      </c>
      <c r="O6" s="6">
        <f>COUNTIFS(I4:I30,"&lt;=9")</f>
        <v>0</v>
      </c>
    </row>
    <row r="7" spans="1:15" ht="37" thickBot="1" x14ac:dyDescent="0.25">
      <c r="A7" s="3" t="s">
        <v>36</v>
      </c>
      <c r="B7" s="19" t="s">
        <v>130</v>
      </c>
      <c r="C7" s="19" t="s">
        <v>131</v>
      </c>
      <c r="D7" s="24">
        <v>8</v>
      </c>
      <c r="E7" s="19" t="s">
        <v>132</v>
      </c>
      <c r="F7" s="24">
        <v>5</v>
      </c>
      <c r="G7" s="19" t="s">
        <v>83</v>
      </c>
      <c r="H7" s="24">
        <v>5</v>
      </c>
      <c r="I7" s="24">
        <f t="shared" si="0"/>
        <v>200</v>
      </c>
      <c r="J7" s="19" t="s">
        <v>133</v>
      </c>
      <c r="K7" s="19" t="s">
        <v>85</v>
      </c>
      <c r="M7" t="s">
        <v>85</v>
      </c>
      <c r="N7">
        <f>COUNTIF(K:K,M7)</f>
        <v>10</v>
      </c>
    </row>
    <row r="8" spans="1:15" ht="37" thickBot="1" x14ac:dyDescent="0.25">
      <c r="A8" s="19" t="s">
        <v>92</v>
      </c>
      <c r="B8" s="19" t="s">
        <v>135</v>
      </c>
      <c r="C8" s="19" t="s">
        <v>136</v>
      </c>
      <c r="D8" s="24">
        <v>4</v>
      </c>
      <c r="E8" s="19" t="s">
        <v>137</v>
      </c>
      <c r="F8" s="24">
        <v>8</v>
      </c>
      <c r="G8" s="19" t="s">
        <v>83</v>
      </c>
      <c r="H8" s="24">
        <v>8</v>
      </c>
      <c r="I8" s="24">
        <f t="shared" si="0"/>
        <v>256</v>
      </c>
      <c r="J8" s="19" t="s">
        <v>143</v>
      </c>
      <c r="K8" s="19" t="s">
        <v>85</v>
      </c>
      <c r="M8" t="s">
        <v>88</v>
      </c>
      <c r="N8">
        <f>COUNTIF(K:K,M8)</f>
        <v>9</v>
      </c>
    </row>
    <row r="9" spans="1:15" ht="49" thickBot="1" x14ac:dyDescent="0.25">
      <c r="A9" s="3" t="s">
        <v>39</v>
      </c>
      <c r="B9" s="19" t="s">
        <v>138</v>
      </c>
      <c r="C9" s="19" t="s">
        <v>139</v>
      </c>
      <c r="D9" s="24">
        <v>6</v>
      </c>
      <c r="E9" s="19" t="s">
        <v>140</v>
      </c>
      <c r="F9" s="24">
        <v>5</v>
      </c>
      <c r="G9" s="19" t="s">
        <v>141</v>
      </c>
      <c r="H9" s="24">
        <v>2</v>
      </c>
      <c r="I9" s="24">
        <f t="shared" si="0"/>
        <v>60</v>
      </c>
      <c r="J9" s="19" t="s">
        <v>142</v>
      </c>
      <c r="K9" s="19" t="s">
        <v>85</v>
      </c>
      <c r="M9" t="s">
        <v>89</v>
      </c>
      <c r="N9">
        <f>COUNTIF(K:K,M9)</f>
        <v>9</v>
      </c>
    </row>
    <row r="10" spans="1:15" ht="37" thickBot="1" x14ac:dyDescent="0.25">
      <c r="A10" s="19" t="s">
        <v>94</v>
      </c>
      <c r="B10" s="19" t="s">
        <v>144</v>
      </c>
      <c r="C10" s="19" t="s">
        <v>145</v>
      </c>
      <c r="D10" s="24">
        <v>9</v>
      </c>
      <c r="E10" s="19" t="s">
        <v>146</v>
      </c>
      <c r="F10" s="24">
        <v>2</v>
      </c>
      <c r="G10" s="19" t="s">
        <v>252</v>
      </c>
      <c r="H10" s="24">
        <v>1</v>
      </c>
      <c r="I10" s="24">
        <f t="shared" si="0"/>
        <v>18</v>
      </c>
      <c r="J10" s="19" t="s">
        <v>147</v>
      </c>
      <c r="K10" s="19" t="s">
        <v>89</v>
      </c>
      <c r="M10" t="s">
        <v>87</v>
      </c>
      <c r="N10">
        <f>COUNTIF(K:K,M10)</f>
        <v>9</v>
      </c>
    </row>
    <row r="11" spans="1:15" ht="25" thickBot="1" x14ac:dyDescent="0.25">
      <c r="A11" s="19" t="s">
        <v>42</v>
      </c>
      <c r="B11" s="19" t="s">
        <v>148</v>
      </c>
      <c r="C11" s="19" t="s">
        <v>149</v>
      </c>
      <c r="D11" s="24">
        <v>3</v>
      </c>
      <c r="E11" s="19" t="s">
        <v>150</v>
      </c>
      <c r="F11" s="24">
        <v>2</v>
      </c>
      <c r="G11" s="19" t="s">
        <v>84</v>
      </c>
      <c r="H11" s="24">
        <v>2</v>
      </c>
      <c r="I11" s="24">
        <f t="shared" si="0"/>
        <v>12</v>
      </c>
      <c r="J11" s="19" t="s">
        <v>153</v>
      </c>
      <c r="K11" s="19" t="s">
        <v>87</v>
      </c>
    </row>
    <row r="12" spans="1:15" ht="49" thickBot="1" x14ac:dyDescent="0.25">
      <c r="A12" s="3" t="s">
        <v>44</v>
      </c>
      <c r="B12" s="19" t="s">
        <v>151</v>
      </c>
      <c r="C12" s="19" t="s">
        <v>152</v>
      </c>
      <c r="D12" s="24">
        <v>3</v>
      </c>
      <c r="E12" s="19" t="s">
        <v>150</v>
      </c>
      <c r="F12" s="24">
        <v>6</v>
      </c>
      <c r="G12" s="19" t="s">
        <v>154</v>
      </c>
      <c r="H12" s="24">
        <v>4</v>
      </c>
      <c r="I12" s="24">
        <f t="shared" si="0"/>
        <v>72</v>
      </c>
      <c r="J12" s="19" t="s">
        <v>171</v>
      </c>
      <c r="K12" s="19" t="s">
        <v>86</v>
      </c>
    </row>
    <row r="13" spans="1:15" ht="37" thickBot="1" x14ac:dyDescent="0.25">
      <c r="A13" s="19" t="s">
        <v>41</v>
      </c>
      <c r="B13" s="19" t="s">
        <v>155</v>
      </c>
      <c r="C13" s="19" t="s">
        <v>156</v>
      </c>
      <c r="D13" s="24">
        <v>7</v>
      </c>
      <c r="E13" s="19" t="s">
        <v>157</v>
      </c>
      <c r="F13" s="24">
        <v>7</v>
      </c>
      <c r="G13" s="19" t="s">
        <v>83</v>
      </c>
      <c r="H13" s="24">
        <v>2</v>
      </c>
      <c r="I13" s="24">
        <f t="shared" si="0"/>
        <v>98</v>
      </c>
      <c r="J13" s="19" t="s">
        <v>143</v>
      </c>
      <c r="K13" s="19" t="s">
        <v>85</v>
      </c>
    </row>
    <row r="14" spans="1:15" ht="25" thickBot="1" x14ac:dyDescent="0.25">
      <c r="A14" s="3" t="s">
        <v>52</v>
      </c>
      <c r="B14" s="19" t="s">
        <v>158</v>
      </c>
      <c r="C14" s="19" t="s">
        <v>159</v>
      </c>
      <c r="D14" s="24">
        <v>6</v>
      </c>
      <c r="E14" s="19" t="s">
        <v>160</v>
      </c>
      <c r="F14" s="24">
        <v>6</v>
      </c>
      <c r="G14" s="19" t="s">
        <v>161</v>
      </c>
      <c r="H14" s="24">
        <v>4</v>
      </c>
      <c r="I14" s="24">
        <f t="shared" si="0"/>
        <v>144</v>
      </c>
      <c r="J14" s="19" t="s">
        <v>162</v>
      </c>
      <c r="K14" s="19" t="s">
        <v>89</v>
      </c>
    </row>
    <row r="15" spans="1:15" ht="37" thickBot="1" x14ac:dyDescent="0.25">
      <c r="A15" s="19" t="s">
        <v>95</v>
      </c>
      <c r="B15" s="19" t="s">
        <v>163</v>
      </c>
      <c r="C15" s="19" t="s">
        <v>164</v>
      </c>
      <c r="D15" s="24">
        <v>7</v>
      </c>
      <c r="E15" s="19" t="s">
        <v>165</v>
      </c>
      <c r="F15" s="24">
        <v>6</v>
      </c>
      <c r="G15" s="19" t="s">
        <v>166</v>
      </c>
      <c r="H15" s="24">
        <v>4</v>
      </c>
      <c r="I15" s="24">
        <f t="shared" si="0"/>
        <v>168</v>
      </c>
      <c r="J15" s="19" t="s">
        <v>167</v>
      </c>
      <c r="K15" s="19" t="s">
        <v>89</v>
      </c>
    </row>
    <row r="16" spans="1:15" ht="37" thickBot="1" x14ac:dyDescent="0.25">
      <c r="A16" s="3" t="s">
        <v>51</v>
      </c>
      <c r="B16" s="19" t="s">
        <v>168</v>
      </c>
      <c r="C16" s="19" t="s">
        <v>169</v>
      </c>
      <c r="D16" s="24">
        <v>7</v>
      </c>
      <c r="E16" s="19" t="s">
        <v>170</v>
      </c>
      <c r="F16" s="24">
        <v>7</v>
      </c>
      <c r="G16" s="19" t="s">
        <v>172</v>
      </c>
      <c r="H16" s="24">
        <v>5</v>
      </c>
      <c r="I16" s="24">
        <f t="shared" si="0"/>
        <v>245</v>
      </c>
      <c r="J16" s="19" t="s">
        <v>173</v>
      </c>
      <c r="K16" s="19" t="s">
        <v>88</v>
      </c>
    </row>
    <row r="17" spans="1:11" ht="25" thickBot="1" x14ac:dyDescent="0.25">
      <c r="A17" s="19" t="s">
        <v>96</v>
      </c>
      <c r="B17" s="19" t="s">
        <v>176</v>
      </c>
      <c r="C17" s="19" t="s">
        <v>174</v>
      </c>
      <c r="D17" s="24">
        <v>8</v>
      </c>
      <c r="E17" s="19" t="s">
        <v>175</v>
      </c>
      <c r="F17" s="24">
        <v>5</v>
      </c>
      <c r="G17" s="19" t="s">
        <v>177</v>
      </c>
      <c r="H17" s="24">
        <v>5</v>
      </c>
      <c r="I17" s="24">
        <f t="shared" si="0"/>
        <v>200</v>
      </c>
      <c r="J17" s="19" t="s">
        <v>178</v>
      </c>
      <c r="K17" s="19" t="s">
        <v>87</v>
      </c>
    </row>
    <row r="18" spans="1:11" ht="25" thickBot="1" x14ac:dyDescent="0.25">
      <c r="A18" s="3" t="s">
        <v>50</v>
      </c>
      <c r="B18" s="19" t="s">
        <v>179</v>
      </c>
      <c r="C18" s="19" t="s">
        <v>180</v>
      </c>
      <c r="D18" s="24">
        <v>8</v>
      </c>
      <c r="E18" s="19" t="s">
        <v>181</v>
      </c>
      <c r="F18" s="24">
        <v>5</v>
      </c>
      <c r="G18" s="19" t="s">
        <v>182</v>
      </c>
      <c r="H18" s="24">
        <v>4</v>
      </c>
      <c r="I18" s="24">
        <f t="shared" si="0"/>
        <v>160</v>
      </c>
      <c r="J18" s="19" t="s">
        <v>183</v>
      </c>
      <c r="K18" s="19" t="s">
        <v>87</v>
      </c>
    </row>
    <row r="19" spans="1:11" ht="37" thickBot="1" x14ac:dyDescent="0.25">
      <c r="A19" s="19" t="s">
        <v>67</v>
      </c>
      <c r="B19" s="19" t="s">
        <v>184</v>
      </c>
      <c r="C19" s="19" t="s">
        <v>185</v>
      </c>
      <c r="D19" s="24">
        <v>9</v>
      </c>
      <c r="E19" s="19" t="s">
        <v>186</v>
      </c>
      <c r="F19" s="24">
        <v>4</v>
      </c>
      <c r="G19" s="19" t="s">
        <v>83</v>
      </c>
      <c r="H19" s="24">
        <v>4</v>
      </c>
      <c r="I19" s="24">
        <f t="shared" si="0"/>
        <v>144</v>
      </c>
      <c r="J19" s="19" t="s">
        <v>187</v>
      </c>
      <c r="K19" s="19" t="s">
        <v>85</v>
      </c>
    </row>
    <row r="20" spans="1:11" ht="25" thickBot="1" x14ac:dyDescent="0.25">
      <c r="A20" s="3" t="s">
        <v>54</v>
      </c>
      <c r="B20" s="19" t="s">
        <v>188</v>
      </c>
      <c r="C20" s="19" t="s">
        <v>189</v>
      </c>
      <c r="D20" s="24">
        <v>10</v>
      </c>
      <c r="E20" s="19" t="s">
        <v>190</v>
      </c>
      <c r="F20" s="24">
        <v>6</v>
      </c>
      <c r="G20" s="19" t="s">
        <v>191</v>
      </c>
      <c r="H20" s="24">
        <v>3</v>
      </c>
      <c r="I20" s="24">
        <f t="shared" si="0"/>
        <v>180</v>
      </c>
      <c r="J20" s="19" t="s">
        <v>192</v>
      </c>
      <c r="K20" s="19" t="s">
        <v>89</v>
      </c>
    </row>
    <row r="21" spans="1:11" ht="37" thickBot="1" x14ac:dyDescent="0.25">
      <c r="A21" s="19" t="s">
        <v>14</v>
      </c>
      <c r="B21" s="19" t="s">
        <v>193</v>
      </c>
      <c r="C21" s="19" t="s">
        <v>194</v>
      </c>
      <c r="D21" s="24">
        <v>10</v>
      </c>
      <c r="E21" s="19" t="s">
        <v>195</v>
      </c>
      <c r="F21" s="24">
        <v>9</v>
      </c>
      <c r="G21" s="19" t="s">
        <v>196</v>
      </c>
      <c r="H21" s="24">
        <v>5</v>
      </c>
      <c r="I21" s="24">
        <f t="shared" si="0"/>
        <v>450</v>
      </c>
      <c r="J21" s="19" t="s">
        <v>197</v>
      </c>
      <c r="K21" s="19" t="s">
        <v>87</v>
      </c>
    </row>
    <row r="22" spans="1:11" ht="37" thickBot="1" x14ac:dyDescent="0.25">
      <c r="A22" s="3" t="s">
        <v>58</v>
      </c>
      <c r="B22" s="19" t="s">
        <v>198</v>
      </c>
      <c r="C22" s="19" t="s">
        <v>199</v>
      </c>
      <c r="D22" s="24">
        <v>6</v>
      </c>
      <c r="E22" s="19" t="s">
        <v>200</v>
      </c>
      <c r="F22" s="24">
        <v>8</v>
      </c>
      <c r="G22" s="19" t="s">
        <v>201</v>
      </c>
      <c r="H22" s="24">
        <v>3</v>
      </c>
      <c r="I22" s="24">
        <f t="shared" si="0"/>
        <v>144</v>
      </c>
      <c r="J22" s="19" t="s">
        <v>191</v>
      </c>
      <c r="K22" s="19" t="s">
        <v>88</v>
      </c>
    </row>
    <row r="23" spans="1:11" ht="37" thickBot="1" x14ac:dyDescent="0.25">
      <c r="A23" s="19" t="s">
        <v>17</v>
      </c>
      <c r="B23" s="19" t="s">
        <v>202</v>
      </c>
      <c r="C23" s="19" t="s">
        <v>203</v>
      </c>
      <c r="D23" s="24">
        <v>9</v>
      </c>
      <c r="E23" s="19" t="s">
        <v>204</v>
      </c>
      <c r="F23" s="24">
        <v>8</v>
      </c>
      <c r="G23" s="19" t="s">
        <v>205</v>
      </c>
      <c r="H23" s="24">
        <v>5</v>
      </c>
      <c r="I23" s="24">
        <f t="shared" si="0"/>
        <v>360</v>
      </c>
      <c r="J23" s="19" t="s">
        <v>206</v>
      </c>
      <c r="K23" s="19" t="s">
        <v>89</v>
      </c>
    </row>
    <row r="24" spans="1:11" ht="25" thickBot="1" x14ac:dyDescent="0.25">
      <c r="A24" s="3" t="s">
        <v>63</v>
      </c>
      <c r="B24" s="19" t="s">
        <v>207</v>
      </c>
      <c r="C24" s="19" t="s">
        <v>208</v>
      </c>
      <c r="D24" s="24">
        <v>8</v>
      </c>
      <c r="E24" s="19" t="s">
        <v>209</v>
      </c>
      <c r="F24" s="24">
        <v>7</v>
      </c>
      <c r="G24" s="19" t="s">
        <v>161</v>
      </c>
      <c r="H24" s="24">
        <v>3</v>
      </c>
      <c r="I24" s="24">
        <f t="shared" si="0"/>
        <v>168</v>
      </c>
      <c r="J24" s="19" t="s">
        <v>162</v>
      </c>
      <c r="K24" s="19" t="s">
        <v>87</v>
      </c>
    </row>
    <row r="25" spans="1:11" ht="25" thickBot="1" x14ac:dyDescent="0.25">
      <c r="A25" s="19" t="s">
        <v>59</v>
      </c>
      <c r="B25" s="19" t="s">
        <v>210</v>
      </c>
      <c r="C25" s="19" t="s">
        <v>211</v>
      </c>
      <c r="D25" s="24">
        <v>7</v>
      </c>
      <c r="E25" s="19" t="s">
        <v>212</v>
      </c>
      <c r="F25" s="24">
        <v>5</v>
      </c>
      <c r="G25" s="19" t="s">
        <v>154</v>
      </c>
      <c r="H25" s="24">
        <v>4</v>
      </c>
      <c r="I25" s="24">
        <f t="shared" si="0"/>
        <v>140</v>
      </c>
      <c r="J25" s="19" t="s">
        <v>171</v>
      </c>
      <c r="K25" s="19" t="s">
        <v>88</v>
      </c>
    </row>
    <row r="26" spans="1:11" ht="37" thickBot="1" x14ac:dyDescent="0.25">
      <c r="A26" s="3" t="s">
        <v>62</v>
      </c>
      <c r="B26" s="19" t="s">
        <v>213</v>
      </c>
      <c r="C26" s="19" t="s">
        <v>214</v>
      </c>
      <c r="D26" s="24">
        <v>7</v>
      </c>
      <c r="E26" s="19" t="s">
        <v>215</v>
      </c>
      <c r="F26" s="24">
        <v>7</v>
      </c>
      <c r="G26" s="19" t="s">
        <v>83</v>
      </c>
      <c r="H26" s="24">
        <v>4</v>
      </c>
      <c r="I26" s="24">
        <f t="shared" si="0"/>
        <v>196</v>
      </c>
      <c r="J26" s="19" t="s">
        <v>191</v>
      </c>
      <c r="K26" s="19" t="s">
        <v>85</v>
      </c>
    </row>
    <row r="27" spans="1:11" ht="37" thickBot="1" x14ac:dyDescent="0.25">
      <c r="A27" s="19" t="s">
        <v>97</v>
      </c>
      <c r="B27" s="19" t="s">
        <v>216</v>
      </c>
      <c r="C27" s="19" t="s">
        <v>217</v>
      </c>
      <c r="D27" s="24">
        <v>9</v>
      </c>
      <c r="E27" s="19" t="s">
        <v>218</v>
      </c>
      <c r="F27" s="24">
        <v>6</v>
      </c>
      <c r="G27" s="19" t="s">
        <v>219</v>
      </c>
      <c r="H27" s="24">
        <v>4</v>
      </c>
      <c r="I27" s="24">
        <f t="shared" si="0"/>
        <v>216</v>
      </c>
      <c r="J27" s="19" t="s">
        <v>220</v>
      </c>
      <c r="K27" s="19" t="s">
        <v>89</v>
      </c>
    </row>
    <row r="28" spans="1:11" ht="25" thickBot="1" x14ac:dyDescent="0.25">
      <c r="A28" s="3" t="s">
        <v>60</v>
      </c>
      <c r="B28" s="19" t="s">
        <v>221</v>
      </c>
      <c r="C28" s="19" t="s">
        <v>222</v>
      </c>
      <c r="D28" s="24">
        <v>5</v>
      </c>
      <c r="E28" s="19" t="s">
        <v>223</v>
      </c>
      <c r="F28" s="24">
        <v>7</v>
      </c>
      <c r="G28" s="19" t="s">
        <v>224</v>
      </c>
      <c r="H28" s="24">
        <v>2</v>
      </c>
      <c r="I28" s="24">
        <f t="shared" si="0"/>
        <v>70</v>
      </c>
      <c r="J28" s="19" t="s">
        <v>225</v>
      </c>
      <c r="K28" s="19" t="s">
        <v>87</v>
      </c>
    </row>
    <row r="29" spans="1:11" ht="25" thickBot="1" x14ac:dyDescent="0.25">
      <c r="A29" s="19" t="s">
        <v>99</v>
      </c>
      <c r="B29" s="19" t="s">
        <v>226</v>
      </c>
      <c r="C29" s="19" t="s">
        <v>227</v>
      </c>
      <c r="D29" s="24">
        <v>10</v>
      </c>
      <c r="E29" s="19" t="s">
        <v>228</v>
      </c>
      <c r="F29" s="24">
        <v>4</v>
      </c>
      <c r="G29" s="19" t="s">
        <v>229</v>
      </c>
      <c r="H29" s="24">
        <v>3</v>
      </c>
      <c r="I29" s="24">
        <f t="shared" si="0"/>
        <v>120</v>
      </c>
      <c r="J29" s="19" t="s">
        <v>230</v>
      </c>
      <c r="K29" s="19" t="s">
        <v>85</v>
      </c>
    </row>
    <row r="30" spans="1:11" ht="37" thickBot="1" x14ac:dyDescent="0.25">
      <c r="A30" s="3" t="s">
        <v>22</v>
      </c>
      <c r="B30" s="19" t="s">
        <v>231</v>
      </c>
      <c r="C30" s="19" t="s">
        <v>199</v>
      </c>
      <c r="D30" s="24">
        <v>8</v>
      </c>
      <c r="E30" s="19" t="s">
        <v>232</v>
      </c>
      <c r="F30" s="24">
        <v>6</v>
      </c>
      <c r="G30" s="19" t="s">
        <v>233</v>
      </c>
      <c r="H30" s="24">
        <v>5</v>
      </c>
      <c r="I30" s="24">
        <f t="shared" ref="I30:I41" si="1">D30*F30*H30</f>
        <v>240</v>
      </c>
      <c r="J30" s="19" t="s">
        <v>234</v>
      </c>
      <c r="K30" s="19" t="s">
        <v>85</v>
      </c>
    </row>
    <row r="31" spans="1:11" ht="37" thickBot="1" x14ac:dyDescent="0.25">
      <c r="A31" s="3" t="s">
        <v>66</v>
      </c>
      <c r="B31" s="19" t="s">
        <v>237</v>
      </c>
      <c r="C31" s="19" t="s">
        <v>235</v>
      </c>
      <c r="D31" s="24">
        <v>9</v>
      </c>
      <c r="E31" s="19" t="s">
        <v>236</v>
      </c>
      <c r="F31" s="24">
        <v>7</v>
      </c>
      <c r="G31" s="19" t="s">
        <v>238</v>
      </c>
      <c r="H31" s="24">
        <v>3</v>
      </c>
      <c r="I31" s="24">
        <f t="shared" si="1"/>
        <v>189</v>
      </c>
      <c r="J31" s="19" t="s">
        <v>220</v>
      </c>
      <c r="K31" s="19" t="s">
        <v>87</v>
      </c>
    </row>
    <row r="32" spans="1:11" ht="25" thickBot="1" x14ac:dyDescent="0.25">
      <c r="A32" s="19" t="s">
        <v>46</v>
      </c>
      <c r="B32" s="19" t="s">
        <v>239</v>
      </c>
      <c r="C32" s="19" t="s">
        <v>240</v>
      </c>
      <c r="D32" s="24">
        <v>7</v>
      </c>
      <c r="E32" s="19" t="s">
        <v>241</v>
      </c>
      <c r="F32" s="24">
        <v>8</v>
      </c>
      <c r="G32" s="19" t="s">
        <v>242</v>
      </c>
      <c r="H32" s="24">
        <v>2</v>
      </c>
      <c r="I32" s="24">
        <f t="shared" si="1"/>
        <v>112</v>
      </c>
      <c r="J32" s="19" t="s">
        <v>243</v>
      </c>
      <c r="K32" s="19" t="s">
        <v>88</v>
      </c>
    </row>
    <row r="33" spans="1:11" ht="25" thickBot="1" x14ac:dyDescent="0.25">
      <c r="A33" s="3" t="s">
        <v>49</v>
      </c>
      <c r="B33" s="19" t="s">
        <v>244</v>
      </c>
      <c r="C33" s="19" t="s">
        <v>245</v>
      </c>
      <c r="D33" s="24">
        <v>3</v>
      </c>
      <c r="E33" s="19" t="s">
        <v>246</v>
      </c>
      <c r="F33" s="24">
        <v>8</v>
      </c>
      <c r="G33" s="19" t="s">
        <v>242</v>
      </c>
      <c r="H33" s="24">
        <v>2</v>
      </c>
      <c r="I33" s="24">
        <f t="shared" si="1"/>
        <v>48</v>
      </c>
      <c r="J33" s="19" t="s">
        <v>247</v>
      </c>
      <c r="K33" s="19" t="s">
        <v>88</v>
      </c>
    </row>
    <row r="34" spans="1:11" ht="37" thickBot="1" x14ac:dyDescent="0.25">
      <c r="A34" s="19" t="s">
        <v>248</v>
      </c>
      <c r="B34" s="19" t="s">
        <v>249</v>
      </c>
      <c r="C34" s="19" t="s">
        <v>250</v>
      </c>
      <c r="D34" s="24">
        <v>7</v>
      </c>
      <c r="E34" s="19" t="s">
        <v>251</v>
      </c>
      <c r="F34" s="24">
        <v>7</v>
      </c>
      <c r="G34" s="19" t="s">
        <v>253</v>
      </c>
      <c r="H34" s="24">
        <v>5</v>
      </c>
      <c r="I34" s="24">
        <f t="shared" si="1"/>
        <v>245</v>
      </c>
      <c r="J34" s="19" t="s">
        <v>254</v>
      </c>
      <c r="K34" s="19" t="s">
        <v>88</v>
      </c>
    </row>
    <row r="35" spans="1:11" ht="25" thickBot="1" x14ac:dyDescent="0.25">
      <c r="A35" s="3" t="s">
        <v>64</v>
      </c>
      <c r="B35" s="19" t="s">
        <v>255</v>
      </c>
      <c r="C35" s="19" t="s">
        <v>256</v>
      </c>
      <c r="D35" s="24">
        <v>4</v>
      </c>
      <c r="E35" s="19" t="s">
        <v>257</v>
      </c>
      <c r="F35" s="24">
        <v>6</v>
      </c>
      <c r="G35" s="19" t="s">
        <v>154</v>
      </c>
      <c r="H35" s="24">
        <v>4</v>
      </c>
      <c r="I35" s="24">
        <f t="shared" si="1"/>
        <v>96</v>
      </c>
      <c r="J35" s="19" t="s">
        <v>171</v>
      </c>
      <c r="K35" s="19" t="s">
        <v>88</v>
      </c>
    </row>
    <row r="36" spans="1:11" ht="37" thickBot="1" x14ac:dyDescent="0.25">
      <c r="A36" s="19" t="s">
        <v>106</v>
      </c>
      <c r="B36" s="19" t="s">
        <v>258</v>
      </c>
      <c r="C36" s="19" t="s">
        <v>259</v>
      </c>
      <c r="D36" s="24">
        <v>9</v>
      </c>
      <c r="E36" s="19" t="s">
        <v>260</v>
      </c>
      <c r="F36" s="24">
        <v>6</v>
      </c>
      <c r="G36" s="19" t="s">
        <v>261</v>
      </c>
      <c r="H36" s="24">
        <v>5</v>
      </c>
      <c r="I36" s="24">
        <f t="shared" si="1"/>
        <v>270</v>
      </c>
      <c r="J36" s="19" t="s">
        <v>262</v>
      </c>
      <c r="K36" s="19" t="s">
        <v>89</v>
      </c>
    </row>
    <row r="37" spans="1:11" ht="25" thickBot="1" x14ac:dyDescent="0.25">
      <c r="A37" s="3" t="s">
        <v>103</v>
      </c>
      <c r="B37" s="19" t="s">
        <v>263</v>
      </c>
      <c r="C37" s="19" t="s">
        <v>264</v>
      </c>
      <c r="D37" s="24">
        <v>9</v>
      </c>
      <c r="E37" s="19" t="s">
        <v>265</v>
      </c>
      <c r="F37" s="24">
        <v>6</v>
      </c>
      <c r="G37" s="19" t="s">
        <v>161</v>
      </c>
      <c r="H37" s="24">
        <v>5</v>
      </c>
      <c r="I37" s="24">
        <f t="shared" si="1"/>
        <v>270</v>
      </c>
      <c r="J37" s="19" t="s">
        <v>266</v>
      </c>
      <c r="K37" s="19" t="s">
        <v>85</v>
      </c>
    </row>
    <row r="38" spans="1:11" ht="37" thickBot="1" x14ac:dyDescent="0.25">
      <c r="A38" s="19" t="s">
        <v>105</v>
      </c>
      <c r="B38" s="19" t="s">
        <v>267</v>
      </c>
      <c r="C38" s="19" t="s">
        <v>268</v>
      </c>
      <c r="D38" s="24">
        <v>8</v>
      </c>
      <c r="E38" s="19" t="s">
        <v>269</v>
      </c>
      <c r="F38" s="24">
        <v>5</v>
      </c>
      <c r="G38" s="19" t="s">
        <v>270</v>
      </c>
      <c r="H38" s="24">
        <v>4</v>
      </c>
      <c r="I38" s="24">
        <f t="shared" si="1"/>
        <v>160</v>
      </c>
      <c r="J38" s="19" t="s">
        <v>271</v>
      </c>
      <c r="K38" s="19" t="s">
        <v>89</v>
      </c>
    </row>
    <row r="39" spans="1:11" ht="25" thickBot="1" x14ac:dyDescent="0.25">
      <c r="A39" s="3" t="s">
        <v>107</v>
      </c>
      <c r="B39" s="19" t="s">
        <v>272</v>
      </c>
      <c r="C39" s="19" t="s">
        <v>273</v>
      </c>
      <c r="D39" s="24">
        <v>9</v>
      </c>
      <c r="E39" s="19" t="s">
        <v>274</v>
      </c>
      <c r="F39" s="24">
        <v>6</v>
      </c>
      <c r="G39" s="19" t="s">
        <v>161</v>
      </c>
      <c r="H39" s="24">
        <v>5</v>
      </c>
      <c r="I39" s="24">
        <f t="shared" si="1"/>
        <v>270</v>
      </c>
      <c r="J39" s="19" t="s">
        <v>275</v>
      </c>
      <c r="K39" s="19" t="s">
        <v>87</v>
      </c>
    </row>
    <row r="40" spans="1:11" ht="25" thickBot="1" x14ac:dyDescent="0.25">
      <c r="A40" s="19" t="s">
        <v>110</v>
      </c>
      <c r="B40" s="19" t="s">
        <v>276</v>
      </c>
      <c r="C40" s="19" t="s">
        <v>277</v>
      </c>
      <c r="D40" s="24">
        <v>9</v>
      </c>
      <c r="E40" s="19" t="s">
        <v>278</v>
      </c>
      <c r="F40" s="24">
        <v>6</v>
      </c>
      <c r="G40" s="19" t="s">
        <v>279</v>
      </c>
      <c r="H40" s="24">
        <v>5</v>
      </c>
      <c r="I40" s="24">
        <f t="shared" si="1"/>
        <v>270</v>
      </c>
      <c r="J40" s="19" t="s">
        <v>280</v>
      </c>
      <c r="K40" s="19" t="s">
        <v>89</v>
      </c>
    </row>
    <row r="41" spans="1:11" ht="25" thickBot="1" x14ac:dyDescent="0.25">
      <c r="A41" s="3" t="s">
        <v>111</v>
      </c>
      <c r="B41" s="19" t="s">
        <v>281</v>
      </c>
      <c r="C41" s="19" t="s">
        <v>282</v>
      </c>
      <c r="D41" s="24">
        <v>8</v>
      </c>
      <c r="E41" s="19" t="s">
        <v>283</v>
      </c>
      <c r="F41" s="24">
        <v>6</v>
      </c>
      <c r="G41" s="19" t="s">
        <v>284</v>
      </c>
      <c r="H41" s="24">
        <v>5</v>
      </c>
      <c r="I41" s="24">
        <f t="shared" si="1"/>
        <v>240</v>
      </c>
      <c r="J41" s="19" t="s">
        <v>285</v>
      </c>
      <c r="K41" s="19" t="s">
        <v>88</v>
      </c>
    </row>
  </sheetData>
  <autoFilter ref="A2:K41" xr:uid="{D1A94129-40A2-44C7-B06A-99A17CC1D295}"/>
  <conditionalFormatting sqref="I3:I41">
    <cfRule type="cellIs" dxfId="3" priority="1" operator="between">
      <formula>500</formula>
      <formula>1000</formula>
    </cfRule>
    <cfRule type="cellIs" dxfId="2" priority="2" operator="between">
      <formula>125</formula>
      <formula>499</formula>
    </cfRule>
    <cfRule type="cellIs" dxfId="1" priority="3" operator="between">
      <formula>10</formula>
      <formula>124</formula>
    </cfRule>
    <cfRule type="cellIs" dxfId="0" priority="4" operator="between">
      <formula>1</formula>
      <formula>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00D15403517347BFCC7BEE816B18F5" ma:contentTypeVersion="10" ma:contentTypeDescription="Crear nuevo documento." ma:contentTypeScope="" ma:versionID="0c32dd1c78c32883e2be75803a5ce93a">
  <xsd:schema xmlns:xsd="http://www.w3.org/2001/XMLSchema" xmlns:xs="http://www.w3.org/2001/XMLSchema" xmlns:p="http://schemas.microsoft.com/office/2006/metadata/properties" xmlns:ns2="299da364-5bd6-4856-b54f-296f95f3dc71" xmlns:ns3="b593fc4c-2af5-4cc2-b6db-90e9851bf100" xmlns:ns4="7fe59f34-55a4-4ccc-9a2c-36cfcecf2037" targetNamespace="http://schemas.microsoft.com/office/2006/metadata/properties" ma:root="true" ma:fieldsID="26f70861ee05eb5a0a686bed56820165" ns2:_="" ns3:_="" ns4:_="">
    <xsd:import namespace="299da364-5bd6-4856-b54f-296f95f3dc71"/>
    <xsd:import namespace="b593fc4c-2af5-4cc2-b6db-90e9851bf100"/>
    <xsd:import namespace="7fe59f34-55a4-4ccc-9a2c-36cfcecf20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da364-5bd6-4856-b54f-296f95f3dc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3fc4c-2af5-4cc2-b6db-90e9851bf100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59f34-55a4-4ccc-9a2c-36cfcecf20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DD062B-0168-4311-840A-28E541099443}">
  <ds:schemaRefs>
    <ds:schemaRef ds:uri="http://purl.org/dc/dcmitype/"/>
    <ds:schemaRef ds:uri="http://schemas.microsoft.com/office/infopath/2007/PartnerControls"/>
    <ds:schemaRef ds:uri="299da364-5bd6-4856-b54f-296f95f3dc71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7fe59f34-55a4-4ccc-9a2c-36cfcecf2037"/>
    <ds:schemaRef ds:uri="b593fc4c-2af5-4cc2-b6db-90e9851bf100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1D176CA-D60D-4C6B-9357-B515981BD9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C243D-74E5-4C90-A7EA-1858FEC01C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9da364-5bd6-4856-b54f-296f95f3dc71"/>
    <ds:schemaRef ds:uri="b593fc4c-2af5-4cc2-b6db-90e9851bf100"/>
    <ds:schemaRef ds:uri="7fe59f34-55a4-4ccc-9a2c-36cfcecf20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RBS Ejemplo</vt:lpstr>
      <vt:lpstr>Marcos de riesgo</vt:lpstr>
      <vt:lpstr>AMEF formato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Rocio Hendez Puerto</dc:creator>
  <cp:lastModifiedBy>Maria Fernanda Gonzalez Zuluaga</cp:lastModifiedBy>
  <dcterms:created xsi:type="dcterms:W3CDTF">2021-07-07T14:02:37Z</dcterms:created>
  <dcterms:modified xsi:type="dcterms:W3CDTF">2025-11-25T22:04:36Z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0x0101009200D15403517347BFCC7BEE816B18F5</vt:lpwstr>
  </property>
</Properties>
</file>